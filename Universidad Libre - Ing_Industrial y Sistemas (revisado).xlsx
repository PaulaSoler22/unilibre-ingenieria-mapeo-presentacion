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msy\Downloads\"/>
    </mc:Choice>
  </mc:AlternateContent>
  <xr:revisionPtr revIDLastSave="0" documentId="13_ncr:1_{E3728862-EA9C-4A02-B593-F288F6FB819E}" xr6:coauthVersionLast="47" xr6:coauthVersionMax="47" xr10:uidLastSave="{00000000-0000-0000-0000-000000000000}"/>
  <bookViews>
    <workbookView xWindow="-120" yWindow="-120" windowWidth="20730" windowHeight="11040" tabRatio="500" firstSheet="1" activeTab="4" xr2:uid="{00000000-000D-0000-FFFF-FFFF00000000}"/>
  </bookViews>
  <sheets>
    <sheet name="Resumen Ejecutivo" sheetId="1" r:id="rId1"/>
    <sheet name="Ing. Industrial" sheetId="2" r:id="rId2"/>
    <sheet name="Ing. de Sistemas" sheetId="3" r:id="rId3"/>
    <sheet name="Priorización" sheetId="4" r:id="rId4"/>
    <sheet name="Desarrollos Propios" sheetId="5" r:id="rId5"/>
    <sheet name="Recomendaciones" sheetId="6" r:id="rId6"/>
    <sheet name="Catálogo CompanyGame" sheetId="7" r:id="rId7"/>
  </sheets>
  <definedNames>
    <definedName name="_xlnm._FilterDatabase" localSheetId="4" hidden="1">'Desarrollos Propios'!$A$4:$K$14</definedName>
    <definedName name="_xlnm._FilterDatabase" localSheetId="2" hidden="1">'Ing. de Sistemas'!$A$4:$V$57</definedName>
    <definedName name="_xlnm._FilterDatabase" localSheetId="1" hidden="1">'Ing. Industrial'!$A$4:$V$57</definedName>
    <definedName name="_xlnm._FilterDatabase" localSheetId="3" hidden="1">Priorización!$A$4:$L$27</definedName>
    <definedName name="_xlnm._FilterDatabase" localSheetId="5" hidden="1">Recomendaciones!$A$30:$G$61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1" l="1"/>
  <c r="B27" i="1"/>
  <c r="D27" i="1" s="1"/>
  <c r="C26" i="1"/>
  <c r="B26" i="1"/>
  <c r="D26" i="1" s="1"/>
  <c r="C25" i="1"/>
  <c r="B25" i="1"/>
  <c r="D25" i="1" s="1"/>
  <c r="D24" i="1"/>
  <c r="C24" i="1"/>
  <c r="B24" i="1"/>
  <c r="E20" i="1"/>
  <c r="D20" i="1"/>
  <c r="C20" i="1"/>
  <c r="B20" i="1"/>
  <c r="F20" i="1" s="1"/>
  <c r="E19" i="1"/>
  <c r="D19" i="1"/>
  <c r="C19" i="1"/>
  <c r="B19" i="1"/>
  <c r="F19" i="1" s="1"/>
  <c r="E18" i="1"/>
  <c r="D18" i="1"/>
  <c r="C18" i="1"/>
  <c r="B18" i="1"/>
  <c r="F18" i="1" s="1"/>
  <c r="E17" i="1"/>
  <c r="D17" i="1"/>
  <c r="C17" i="1"/>
  <c r="B17" i="1"/>
  <c r="F17" i="1" s="1"/>
  <c r="C13" i="1"/>
  <c r="B13" i="1"/>
  <c r="D13" i="1" s="1"/>
  <c r="C12" i="1"/>
  <c r="B12" i="1"/>
  <c r="D12" i="1" s="1"/>
  <c r="C11" i="1"/>
  <c r="B11" i="1"/>
  <c r="D11" i="1" s="1"/>
  <c r="C10" i="1"/>
  <c r="D10" i="1" s="1"/>
  <c r="B10" i="1"/>
</calcChain>
</file>

<file path=xl/sharedStrings.xml><?xml version="1.0" encoding="utf-8"?>
<sst xmlns="http://schemas.openxmlformats.org/spreadsheetml/2006/main" count="3246" uniqueCount="1030">
  <si>
    <t>Análisis de mallas curriculares y aplicación de simuladores de negocios</t>
  </si>
  <si>
    <t>Universidad Libre – Facultad de Ingeniería · Ingeniería Industrial (SNIES 54334) e Ingeniería de Sistemas (SNIES 11584) · SimVenture · SimAgile · SimProject · catálogo CompanyGame · desarrollos propios</t>
  </si>
  <si>
    <t>1. Alcance del análisis</t>
  </si>
  <si>
    <t>Se analizaron, asignatura por asignatura, las dos mallas curriculares entregadas por el cliente, para identificar dónde pueden integrarse SimVenture, SimAgile, SimProject y el catálogo CompanyGame, y dónde existe oportunidad de desarrollar simuladores propios.</t>
  </si>
  <si>
    <t>Fuente de las mallas: los dos PDF de la Facultad de Ingeniería de la Universidad Libre. Fuente del catálogo CompanyGame: el cuadro de portafolio entregado por el cliente (41 simuladores en 7 familias). No se incorporó ninguna asignatura ni ningún simulador que no aparezca en esos documentos.</t>
  </si>
  <si>
    <t>2. Asignaturas analizadas</t>
  </si>
  <si>
    <t>Indicador</t>
  </si>
  <si>
    <t>Ing. Industrial</t>
  </si>
  <si>
    <t>Ing. de Sistemas</t>
  </si>
  <si>
    <t>Total</t>
  </si>
  <si>
    <t>Asignaturas en la malla</t>
  </si>
  <si>
    <t>Créditos totales del programa</t>
  </si>
  <si>
    <t>Asignaturas del componente Profesional</t>
  </si>
  <si>
    <t>Espacios electivos y optativos sin contenido definido</t>
  </si>
  <si>
    <t>3. Oportunidades por simulador (número de asignaturas)</t>
  </si>
  <si>
    <t>Simulador</t>
  </si>
  <si>
    <t>Alta – Industrial</t>
  </si>
  <si>
    <t>Alta – Sistemas</t>
  </si>
  <si>
    <t>Media – Industrial</t>
  </si>
  <si>
    <t>Media – Sistemas</t>
  </si>
  <si>
    <t>Total Alta + Media</t>
  </si>
  <si>
    <t>SimVenture</t>
  </si>
  <si>
    <t>SimAgile</t>
  </si>
  <si>
    <t>SimProject</t>
  </si>
  <si>
    <t>Desarrollo propio (oportunidad)</t>
  </si>
  <si>
    <t>Catálogo CompanyGame — grado de ajuste (columna única, mismo formato del mapeo de la UAO)</t>
  </si>
  <si>
    <t>Grado de ajuste</t>
  </si>
  <si>
    <t>Encaje perfecto</t>
  </si>
  <si>
    <t>Encaje parcial</t>
  </si>
  <si>
    <t>No encaja</t>
  </si>
  <si>
    <t>Por definir</t>
  </si>
  <si>
    <t>Los conteos se calculan con fórmulas sobre las hojas 'Ing. Industrial' e 'Ing. de Sistemas': si se ajusta una calificación, este resumen se actualiza solo.</t>
  </si>
  <si>
    <t>4. Principales hallazgos</t>
  </si>
  <si>
    <t>•  Ingeniería Industrial es el programa natural de SimVenture y de las familias CompanyGame de Negocios y estrategia y de Finanzas: la línea de gestión empresarial atraviesa los semestres II a VII (Contabilidad y Presupuesto, Gestión Organizacional, Gerencia Estratégica, Costos de Operación, Ingeniería Económica, Finanzas y Mercadeo).</t>
  </si>
  <si>
    <t>•  Ingeniería de Sistemas es el programa natural de SimAgile y SimProject: la línea de Ingeniería de Software recorre los semestres III, IV y V y culmina en Gestión de Proyectos de Ingeniería (VII), la asignatura de encaje más directo de todo el análisis.</t>
  </si>
  <si>
    <t>•  Hallazgo del catálogo CompanyGame: CÁTEDRA DE SOSTENIBILIDAD es obligatoria en los dos programas, hoy no tiene ninguna herramienta práctica asociada y la familia ESG Management (ESGProject, ESGManagement, GlobalManagement) cubre su objeto completo. Es la mejor relación esfuerzo-resultado de todo el análisis: una sola conversación con doble resultado.</t>
  </si>
  <si>
    <t>•  Segundo hallazgo del catálogo: ninguna de las dos mallas tiene asignatura de emprendimiento o creación de empresa. La familia Emprendimiento de CompanyGame sólo tiene entrada indirecta por Formulación y Evaluación de Proyectos, o directa si se diseña una electiva.</t>
  </si>
  <si>
    <t>•  La familia HORECA no tiene ninguna asignatura destino en estas dos mallas. Se registra en Baja de forma explícita; su mercado está en otros programas de la universidad, no en la Facultad de Ingeniería.</t>
  </si>
  <si>
    <t>•  Los simuladores CompanyGame de nivel 1-2 (T-Shirt, Sunny Day, MarketGame, ContaTrainer) abren una entrada temprana que SimVenture, SimAgile y SimProject no cubren: Introducción a la Ingeniería (I, ambos programas) y Contabilidad y Presupuesto (II, Industrial).</t>
  </si>
  <si>
    <t>•  Tres asignaturas admiten dos simuladores a la vez y permiten proponer paquetes: Formulación y Evaluación de Proyectos (en ambos programas), Ingeniería del Software III y Diseño de Productos y Servicios.</t>
  </si>
  <si>
    <t>•  La ausencia más grande del portafolio está en la línea de producción y operaciones de Ingeniería Industrial: ocho asignaturas del componente profesional sin simulador aplicable, ni propio ni del catálogo CompanyGame. Es el mayor espacio de desarrollo propio identificado.</t>
  </si>
  <si>
    <t>•  Los 6 espacios electivos y optativos de cada programa (12 en total) no tienen contenido definido en la malla y constituyen la vía de inserción más rápida: permiten proponer un curso basado en simulador sin pasar por un rediseño curricular.</t>
  </si>
  <si>
    <t>•  El componente de ciencias básicas y la formación humanística no ofrecen oportunidades reales. Se calificaron como Baja de forma explícita para evitar recomendaciones que no resistirían una revisión académica.</t>
  </si>
  <si>
    <t>5. Top 15 oportunidades con mayor potencial de implementación</t>
  </si>
  <si>
    <t>#</t>
  </si>
  <si>
    <t>Programa</t>
  </si>
  <si>
    <t>Sem.</t>
  </si>
  <si>
    <t>Asignatura</t>
  </si>
  <si>
    <t>Simulador recomendado</t>
  </si>
  <si>
    <t>Prioridad</t>
  </si>
  <si>
    <t>Facilidad de justificación</t>
  </si>
  <si>
    <t>Semestre 7</t>
  </si>
  <si>
    <t>GESTIÓN DE PROYECTOS DE INGENIERÍA</t>
  </si>
  <si>
    <t>Alta</t>
  </si>
  <si>
    <t>Semestre 4</t>
  </si>
  <si>
    <t>GERENCIA ESTRATÉGICA</t>
  </si>
  <si>
    <t>FORMULACIÓN Y EVALUACIÓN DE PROYECTOS</t>
  </si>
  <si>
    <t>SimVenture + SimProject</t>
  </si>
  <si>
    <t>Semestre 5</t>
  </si>
  <si>
    <t>INGENIERÍA DEL SOFTWARE III</t>
  </si>
  <si>
    <t>SimAgile + SimProject</t>
  </si>
  <si>
    <t>Semestre 6</t>
  </si>
  <si>
    <t>FINANZAS</t>
  </si>
  <si>
    <t>Ambos programas</t>
  </si>
  <si>
    <t>V (Ind.) / IV (Sist.)</t>
  </si>
  <si>
    <t>CÁTEDRA DE SOSTENIBILIDAD</t>
  </si>
  <si>
    <t>ESGManagement / ESGProject (CompanyGame)</t>
  </si>
  <si>
    <t>SimProject + SimVenture</t>
  </si>
  <si>
    <t>MERCADEO</t>
  </si>
  <si>
    <t>INGENIERÍA DE SOFTWARE II</t>
  </si>
  <si>
    <t>DISEÑO DE PRODUCTOS Y SERVICIOS</t>
  </si>
  <si>
    <t>SimAgile + SimVenture</t>
  </si>
  <si>
    <t>Semestre 8</t>
  </si>
  <si>
    <t>ARQUITECTURA EMPRESARIAL</t>
  </si>
  <si>
    <t>Media</t>
  </si>
  <si>
    <t>GESTIÓN DE TECNOLOGÍA</t>
  </si>
  <si>
    <t>INGENIERÍA ECONÓMICA</t>
  </si>
  <si>
    <t>Semestre 3</t>
  </si>
  <si>
    <t>INGENIERÍA DE SOFTWARE I</t>
  </si>
  <si>
    <t>El detalle de cada oportunidad, con la alternativa CompanyGame y el argumento de venta, está en la hoja 'Priorización' (23 oportunidades en total).</t>
  </si>
  <si>
    <t>6. Principales oportunidades de desarrollo propio</t>
  </si>
  <si>
    <t>Código</t>
  </si>
  <si>
    <t>Simulador propuesto</t>
  </si>
  <si>
    <t>Programas</t>
  </si>
  <si>
    <t>Transversalidad</t>
  </si>
  <si>
    <t>DP-01</t>
  </si>
  <si>
    <t>Simulador de Planeación y Control de Operaciones</t>
  </si>
  <si>
    <t>Alta - 6 asignaturas de un programa</t>
  </si>
  <si>
    <t>Prioridad 1</t>
  </si>
  <si>
    <t>DP-02</t>
  </si>
  <si>
    <t>Simulador de Transformación Digital y Arquitectura Empresarial</t>
  </si>
  <si>
    <t>Ing. de Sistemas + Ing. Industrial</t>
  </si>
  <si>
    <t>Alta en asignaturas (6 en los dos programas), pero ya cubierta parcialmente por el catálogo</t>
  </si>
  <si>
    <t>Prioridad 3 (cubierto parcialmente por CompanyGame)</t>
  </si>
  <si>
    <t>DP-03</t>
  </si>
  <si>
    <t>Simulador de Implementación y Auditoría de Sistemas Integrados de Gestión</t>
  </si>
  <si>
    <t>Ing. Industrial + Ing. de Sistemas</t>
  </si>
  <si>
    <t>Alta - 5 asignaturas en los dos programas</t>
  </si>
  <si>
    <t>DP-04</t>
  </si>
  <si>
    <t>Simulador de Cadena de Suministro</t>
  </si>
  <si>
    <t>Alta - 4 asignaturas de un programa</t>
  </si>
  <si>
    <t>Prioridad 2</t>
  </si>
  <si>
    <t>DP-05</t>
  </si>
  <si>
    <t>Simulador de Gestión de Incidentes de Seguridad de la Información</t>
  </si>
  <si>
    <t>Media - 3 asignaturas de un programa</t>
  </si>
  <si>
    <t>DP-06</t>
  </si>
  <si>
    <t>Simulador de Control Estadístico de Procesos y Calidad</t>
  </si>
  <si>
    <t>DP-07</t>
  </si>
  <si>
    <t>Simulador de Dilemas Éticos y Sostenibilidad en la Decisión Profesional</t>
  </si>
  <si>
    <t>Media - queda acotado a ÉTICA (ambos programas) e INTELIGENCIA ARTIFICIAL</t>
  </si>
  <si>
    <t>Prioridad 3</t>
  </si>
  <si>
    <t>DP-08</t>
  </si>
  <si>
    <t>Simulador de Seguridad y Salud en el Trabajo (SG-SST)</t>
  </si>
  <si>
    <t>Baja - 2 asignaturas de un programa</t>
  </si>
  <si>
    <t>DP-09</t>
  </si>
  <si>
    <t>Simulador de Diseño de Instalaciones y Procesos Industriales</t>
  </si>
  <si>
    <t>DP-10</t>
  </si>
  <si>
    <t>Línea de laboratorios virtuales (producto distinto a simuladores de gestión)</t>
  </si>
  <si>
    <t>Alta en número de asignaturas (5), pero corresponde a otra línea de producto</t>
  </si>
  <si>
    <t>Fuera del alcance de simuladores de gestión</t>
  </si>
  <si>
    <t>7. Criterios de calificación de compatibilidad</t>
  </si>
  <si>
    <t>ALTA</t>
  </si>
  <si>
    <t>El objeto central de aprendizaje de la asignatura coincide con el dominio de decisión que modela el simulador. El simulador puede ser eje del curso o de una unidad completa y sus decisiones corresponden directamente a las competencias declaradas.</t>
  </si>
  <si>
    <t>MEDIA</t>
  </si>
  <si>
    <t>El dominio del simulador cubre una parte de la asignatura (una unidad, un eje transversal o el contexto). Aporta como actividad complementaria o de integración, pero no cubre el núcleo del curso.</t>
  </si>
  <si>
    <t>BAJA</t>
  </si>
  <si>
    <t>La asignatura pertenece a ciencias básicas, formación humanística o a un dominio técnico específico sin decisiones de gestión, proyecto o negocio. El simulador no aporta a sus resultados de aprendizaje.</t>
  </si>
  <si>
    <t>NO EVALUABLE</t>
  </si>
  <si>
    <t>Espacios electivos y optativos cuyo contenido no está definido en la malla curricular. No es posible evaluar compatibilidad; se tratan como espacios de inserción curricular.</t>
  </si>
  <si>
    <t>DESARROLLO PROPIO - ALTA</t>
  </si>
  <si>
    <t>Existe un dominio de decisión claro y enseñable que ningún simulador del portafolio actual cubre, y la temática es transversal a dos o más asignaturas o programas.</t>
  </si>
  <si>
    <t>DESARROLLO PROPIO - MEDIA</t>
  </si>
  <si>
    <t>Existe un dominio simulable pero limitado a una sola asignatura, o bien pertenece a una línea de producto distinta (por ejemplo laboratorios virtuales).</t>
  </si>
  <si>
    <t>8. Notas sobre la fuente y sus límites</t>
  </si>
  <si>
    <t>•  Fuente del catálogo CompanyGame: el cuadro de portafolio entregado por el cliente, con 41 simuladores organizados en 7 familias y 4 rangos de nivel. Los nombres de los simuladores se transcriben literalmente de esa imagen; en dos casos (Acelera y Organization &amp; People Management) la ubicación en el cuadro queda entre dos columnas de nivel y así se registra.</t>
  </si>
  <si>
    <t>•  SimVenture, SimAgile y SimProject se analizan en columnas propias por tratarse de productos distintos del catálogo CompanyGame mostrado.</t>
  </si>
  <si>
    <t>•  Fuente de las mallas: los dos PDF de malla curricular entregados por el cliente (Ingeniería Industrial SNIES 54334 e Ingeniería de Sistemas SNIES 11584, Facultad de Ingeniería, Universidad Libre).</t>
  </si>
  <si>
    <t>•  Información explícita tomada de la fuente: nombre de la asignatura, semestre, número de créditos y componente de formación (identificado por el código de color de la malla: Básico, Electiva, Humanístico, Optativo, Profesional).</t>
  </si>
  <si>
    <t>•  Información inferida por el analista: área temática, competencias, temáticas principales, relación con la gestión y todos los niveles de compatibilidad. Las mallas no incluyen contenidos programáticos ni resultados de aprendizaje.</t>
  </si>
  <si>
    <t>•  Recomendación: validar las inferencias con los microcurrículos o syllabus de cada asignatura antes de la reunión comercial. Los syllabus no fueron suministrados.</t>
  </si>
  <si>
    <t>•  Las asignaturas ELECTIVA I, II, III y OPTATIVA I, II, III no tienen contenido definido en la malla; se marcan como 'No evaluable' y se tratan como espacios de inserción curricular.</t>
  </si>
  <si>
    <t>•  Observación sobre la fuente: en la malla de Ingeniería Industrial, el Semestre V aparece con un total de 19 créditos, pero la suma de las asignaturas listadas es 18 y el total del programa (144) sólo cuadra con 18. Conviene verificar este punto con el programa.</t>
  </si>
  <si>
    <t>•  Ambos programas suman 144 créditos y 53 asignaturas (incluidos los espacios electivos y optativos).</t>
  </si>
  <si>
    <t>Matriz de relacionamiento – Ingeniería Industrial</t>
  </si>
  <si>
    <t>Universidad Libre – Facultad de Ingeniería · SNIES 54334 · 53 asignaturas · 144 créditos</t>
  </si>
  <si>
    <t>Semestre</t>
  </si>
  <si>
    <t>Créditos</t>
  </si>
  <si>
    <t>Componente de formación</t>
  </si>
  <si>
    <t>Área temática</t>
  </si>
  <si>
    <t>Competencias principales</t>
  </si>
  <si>
    <t>Temáticas principales</t>
  </si>
  <si>
    <t>Relación con gestión / negocio</t>
  </si>
  <si>
    <t>Simulador CompanyGame que encaja</t>
  </si>
  <si>
    <t>Nivel CG</t>
  </si>
  <si>
    <t>Desarrollo propio</t>
  </si>
  <si>
    <t>Tipo de simulador que se requeriría</t>
  </si>
  <si>
    <t>Justificación de la recomendación</t>
  </si>
  <si>
    <t>Tipo de uso sugerido</t>
  </si>
  <si>
    <t>Prioridad comercial</t>
  </si>
  <si>
    <t>Origen de competencias y temáticas</t>
  </si>
  <si>
    <t>Ingeniería Industrial</t>
  </si>
  <si>
    <t>Semestre 1</t>
  </si>
  <si>
    <t>INTRODUCCIÓN A LA INGENIERÍA</t>
  </si>
  <si>
    <t>Básico</t>
  </si>
  <si>
    <t>Fundamentación profesional</t>
  </si>
  <si>
    <t>Comprensión del campo de acción del ingeniero industrial; pensamiento sistémico inicial; trabajo en equipo</t>
  </si>
  <si>
    <t>Perfil y campos de la ingeniería industrial; sistemas productivos; rol profesional</t>
  </si>
  <si>
    <t>Media - contextualiza la empresa como objeto de la profesión</t>
  </si>
  <si>
    <t>Baja</t>
  </si>
  <si>
    <t>—</t>
  </si>
  <si>
    <t>Cubierto parcialmente por el catálogo; el resto del curso se apoya en SimVenture, SimAgile o SimProject según el caso</t>
  </si>
  <si>
    <t>T-Shirt / Sunny Day (CompanyGame, nivel introductorio)</t>
  </si>
  <si>
    <t>El curso es de contextualización profesional, no de decisión empresarial. Un módulo introductorio corto de SimVenture puede usarse como actividad motivadora, pero no hay contenido que el simulador cubra. El catálogo CompanyGame sí ofrece una opción viable aquí: un simulador de nivel 1-2 como T-Shirt funciona como primera experiencia de decisión empresarial en primer semestre, con alto volumen de estudiantes y bajo esfuerzo docente.</t>
  </si>
  <si>
    <t>Exploratorio</t>
  </si>
  <si>
    <t>Inferencia académica</t>
  </si>
  <si>
    <t>EXPRESIÓN GRÁFICA PARA INGENIERÍA</t>
  </si>
  <si>
    <t>Ciencias básicas de ingeniería</t>
  </si>
  <si>
    <t>Representación gráfica, normalización técnica, manejo de CAD</t>
  </si>
  <si>
    <t>Dibujo técnico, acotado, vistas, modelado CAD</t>
  </si>
  <si>
    <t>Nula - competencia técnica instrumental</t>
  </si>
  <si>
    <t>No requiere simulador — asignatura sin decisiones de gestión, proyecto o negocio</t>
  </si>
  <si>
    <t>Ninguno</t>
  </si>
  <si>
    <t>No hay decisiones de gestión, proyecto ni negocio. Forzar un simulador aquí restaría credibilidad a la propuesta.</t>
  </si>
  <si>
    <t>No aplica</t>
  </si>
  <si>
    <t>CÁLCULO DIFERENCIAL</t>
  </si>
  <si>
    <t>Ciencias básicas</t>
  </si>
  <si>
    <t>Razonamiento matemático, modelado de variación</t>
  </si>
  <si>
    <t>Límites, derivadas, optimización de funciones</t>
  </si>
  <si>
    <t>Nula</t>
  </si>
  <si>
    <t>Asignatura de ciencias básicas sin componente de decisión empresarial.</t>
  </si>
  <si>
    <t>QUÍMICA GENERAL Y LABORATORIO</t>
  </si>
  <si>
    <t>Fundamentos químicos aplicados a materiales y procesos; trabajo experimental</t>
  </si>
  <si>
    <t>Estequiometría, enlaces, reacciones, prácticas de laboratorio</t>
  </si>
  <si>
    <t>Nula para simuladores de gestión</t>
  </si>
  <si>
    <t>Laboratorio virtual de química (línea de producto distinta a los simuladores de gestión)</t>
  </si>
  <si>
    <t>Desarrollo propio (laboratorio virtual)</t>
  </si>
  <si>
    <t>No aplica a simuladores de negocio. Sí existe oportunidad para laboratorio virtual de química, que es una línea de producto distinta a los simuladores de gestión.</t>
  </si>
  <si>
    <t>LÓGICA Y ALGORITMOS</t>
  </si>
  <si>
    <t>Pensamiento algorítmico, resolución estructurada de problemas</t>
  </si>
  <si>
    <t>Lógica proposicional, diagramas de flujo, pseudocódigo</t>
  </si>
  <si>
    <t>Competencia técnica sin decisiones de gestión de negocio, proyecto o equipo.</t>
  </si>
  <si>
    <t>COMPETENCIAS DE APRENDIZAJE Y COMUNICACIÓN</t>
  </si>
  <si>
    <t>Humanístico</t>
  </si>
  <si>
    <t>Formación humanística</t>
  </si>
  <si>
    <t>Comunicación oral y escrita, lectura crítica, trabajo colaborativo</t>
  </si>
  <si>
    <t>Competencias comunicativas, argumentación, trabajo en equipo</t>
  </si>
  <si>
    <t>Baja - toca trabajo en equipo pero no gestión</t>
  </si>
  <si>
    <t>Aunque desarrolla trabajo en equipo, no hay contenido de gestión que justifique la inversión en un simulador.</t>
  </si>
  <si>
    <t>CÁTEDRA UNILIBRISTA</t>
  </si>
  <si>
    <t>Formación institucional</t>
  </si>
  <si>
    <t>Identidad institucional y valores unilibristas</t>
  </si>
  <si>
    <t>Historia, principios y proyecto educativo institucional</t>
  </si>
  <si>
    <t>Cátedra institucional sin contenidos de gestión.</t>
  </si>
  <si>
    <t>Semestre 2</t>
  </si>
  <si>
    <t>CÁLCULO INTEGRAL</t>
  </si>
  <si>
    <t>Razonamiento matemático, integración y acumulación</t>
  </si>
  <si>
    <t>Integrales, aplicaciones, series</t>
  </si>
  <si>
    <t>Ciencias básicas sin decisiones empresariales.</t>
  </si>
  <si>
    <t>FÍSICA MECÁNICA Y LABORATORIO</t>
  </si>
  <si>
    <t>Modelado físico de sistemas mecánicos; experimentación</t>
  </si>
  <si>
    <t>Cinemática, dinámica, energía, laboratorio</t>
  </si>
  <si>
    <t>Laboratorio virtual de física</t>
  </si>
  <si>
    <t>Sin relación con simuladores de negocio; oportunidad únicamente en la línea de laboratorios virtuales.</t>
  </si>
  <si>
    <t>ALGEBRA LINEAL</t>
  </si>
  <si>
    <t>Modelado matricial, solución de sistemas</t>
  </si>
  <si>
    <t>Matrices, vectores, espacios, transformaciones</t>
  </si>
  <si>
    <t>CIENCIA DE LOS MATERIALES EN LA INDUSTRIA</t>
  </si>
  <si>
    <t>Selección y caracterización de materiales industriales</t>
  </si>
  <si>
    <t>Estructura, propiedades, ensayos, selección de materiales</t>
  </si>
  <si>
    <t>Baja - la selección de materiales tiene impacto en costos</t>
  </si>
  <si>
    <t>Simulador de selección de materiales con trade-off costo–desempeño</t>
  </si>
  <si>
    <t>Desarrollo propio (selección de materiales / laboratorio virtual)</t>
  </si>
  <si>
    <t>El componente de decisión (costo vs. desempeño del material) existe pero es muy específico; ningún simulador del portafolio lo cubre.</t>
  </si>
  <si>
    <t>LENGUAJE DE PROGRAMACIÓN</t>
  </si>
  <si>
    <t>Programación estructurada aplicada a problemas de ingeniería</t>
  </si>
  <si>
    <t>Sintaxis, estructuras de control, funciones, datos</t>
  </si>
  <si>
    <t>Competencia técnica de programación; sin decisiones de gestión.</t>
  </si>
  <si>
    <t>CONTABILIDAD Y PRESUPUESTO</t>
  </si>
  <si>
    <t>Profesional</t>
  </si>
  <si>
    <t>Gestión financiera</t>
  </si>
  <si>
    <t>Lectura e interpretación de estados financieros; elaboración y control presupuestal</t>
  </si>
  <si>
    <t>Ecuación contable, estados financieros, presupuestos, control de ejecución</t>
  </si>
  <si>
    <t>Alta - núcleo de la gestión financiera empresarial</t>
  </si>
  <si>
    <t>ContaTrainer</t>
  </si>
  <si>
    <t>N1-2</t>
  </si>
  <si>
    <t>Cubierto por el catálogo CompanyGame</t>
  </si>
  <si>
    <t>ContaTrainer (CompanyGame) o SimVenture</t>
  </si>
  <si>
    <t>SimVenture genera estados financieros y presupuesto tras cada ciclo de decisión, permitiendo que el estudiante vea el efecto real de sus decisiones sobre la contabilidad en lugar de trabajar con casos estáticos. SimProject aporta si el curso trabaja presupuestos de proyecto. ContaTrainer está diseñado específicamente para formación contable de nivel inicial y ajusta mejor que SimVenture al alcance de una asignatura de 2 créditos en segundo semestre.</t>
  </si>
  <si>
    <t>Complementario</t>
  </si>
  <si>
    <t>ELECTIVA I</t>
  </si>
  <si>
    <t>Electiva</t>
  </si>
  <si>
    <t>Espacio electivo sin contenido definido</t>
  </si>
  <si>
    <t>No disponible en la fuente</t>
  </si>
  <si>
    <t>No determinable con la información disponible</t>
  </si>
  <si>
    <t>No evaluable</t>
  </si>
  <si>
    <t>Por definir según el contenido del espacio</t>
  </si>
  <si>
    <t>Depende del contenido que se defina para la electiva u optativa</t>
  </si>
  <si>
    <t>Depende del contenido de la electiva</t>
  </si>
  <si>
    <t>La malla no define contenido. Comercialmente es el espacio de inserción más rápido: permite proponer una electiva completa basada en simulador sin modificar el plan de estudios ni pasar por rediseño curricular.</t>
  </si>
  <si>
    <t>Principal (si se diseña la electiva)</t>
  </si>
  <si>
    <t>CÁLCULO MULTIVARIADO VECTORIAL</t>
  </si>
  <si>
    <t>Modelado matemático multivariable</t>
  </si>
  <si>
    <t>Derivadas parciales, integrales múltiples, campos</t>
  </si>
  <si>
    <t>ELECTRICIDAD, MAGNETISMO Y LABORATORIO</t>
  </si>
  <si>
    <t>Fundamentos electromagnéticos; experimentación</t>
  </si>
  <si>
    <t>Circuitos, campos, laboratorio</t>
  </si>
  <si>
    <t>Laboratorio virtual de electricidad y magnetismo</t>
  </si>
  <si>
    <t>Sin relación con simuladores de gestión; oportunidad en línea de laboratorios virtuales.</t>
  </si>
  <si>
    <t>PROBABILIDAD Y ESTADÍSTICA DESCRIPTIVA</t>
  </si>
  <si>
    <t>Métodos cuantitativos</t>
  </si>
  <si>
    <t>Análisis de datos, caracterización de variables, inferencia inicial</t>
  </si>
  <si>
    <t>Distribuciones, medidas descriptivas, probabilidad</t>
  </si>
  <si>
    <t>Media - base para decisiones bajo incertidumbre</t>
  </si>
  <si>
    <t>Simulador de decisiones con datos incompletos y bajo incertidumbre</t>
  </si>
  <si>
    <t>Desarrollo propio (decisiones bajo incertidumbre)</t>
  </si>
  <si>
    <t>El curso enseña la herramienta, no la decisión. Un simulador propio que obligue a decidir con datos incompletos sería pertinente, pero ninguno del portafolio actual encaja.</t>
  </si>
  <si>
    <t>DISEÑO EN INGENIERÍA</t>
  </si>
  <si>
    <t>Diseño y desarrollo de producto</t>
  </si>
  <si>
    <t>Proceso de diseño, identificación de necesidades, prototipado, trabajo en equipo multidisciplinar</t>
  </si>
  <si>
    <t>Metodología de diseño, requisitos, iteración, prototipos</t>
  </si>
  <si>
    <t>Alta - desarrollo de producto e innovación</t>
  </si>
  <si>
    <t>El diseño en ingeniería es iterativo y por equipos, que es exactamente la dinámica de SimAgile (ciclos, backlog, entrega incremental). SimVenture aportaría la validación comercial del diseño.</t>
  </si>
  <si>
    <t>FUNDAMENTO DE ECONOMÍA</t>
  </si>
  <si>
    <t>Economía y entorno</t>
  </si>
  <si>
    <t>Comprensión del funcionamiento de mercados y del entorno económico de la empresa</t>
  </si>
  <si>
    <t>Oferta y demanda, elasticidad, estructuras de mercado, indicadores macro</t>
  </si>
  <si>
    <t>Alta - entorno económico de la decisión empresarial</t>
  </si>
  <si>
    <t>SimVenture o Sunny Day / Energy&amp;Co (CompanyGame)</t>
  </si>
  <si>
    <t>SimVenture permite observar el efecto de precio, demanda y competencia en un mercado simulado. No cubre el contenido macroeconómico del curso, por lo que su rol es de ilustración, no de eje.</t>
  </si>
  <si>
    <t>GESTIÓN ORGANIZACIONAL</t>
  </si>
  <si>
    <t>Gestión empresarial</t>
  </si>
  <si>
    <t>Comprensión de la estructura y los procesos administrativos de la organización; liderazgo y toma de decisiones</t>
  </si>
  <si>
    <t>Teoría organizacional, funciones administrativas, estructura, cultura, liderazgo</t>
  </si>
  <si>
    <t>Alta - gestión empresarial integral</t>
  </si>
  <si>
    <t>Business21</t>
  </si>
  <si>
    <t>N3-4</t>
  </si>
  <si>
    <t>Business21 (CompanyGame) o SimVenture</t>
  </si>
  <si>
    <t>El curso trata la organización como sistema de decisiones; SimVenture pone al estudiante a dirigirla. Es una de las asignaturas donde el simulador puede ser eje del curso y no un complemento. Organization &amp; People Management aporta específicamente la dimensión de dirección de personas del curso.</t>
  </si>
  <si>
    <t>Principal</t>
  </si>
  <si>
    <t>ELECTIVA II</t>
  </si>
  <si>
    <t>Espacio de inserción sin rediseño curricular. Ver Electiva I.</t>
  </si>
  <si>
    <t>ECUACIONES DIFERENCIALES</t>
  </si>
  <si>
    <t>Modelado de sistemas dinámicos</t>
  </si>
  <si>
    <t>EDO, transformadas, aplicaciones</t>
  </si>
  <si>
    <t>TERMODINÁMICA</t>
  </si>
  <si>
    <t>Análisis energético de procesos</t>
  </si>
  <si>
    <t>Leyes de la termodinámica, ciclos, balance de energía</t>
  </si>
  <si>
    <t>Baja - eficiencia energética con impacto en costos</t>
  </si>
  <si>
    <t>Contenido físico-técnico sin decisiones de gestión.</t>
  </si>
  <si>
    <t>Estrategia y dirección</t>
  </si>
  <si>
    <t>Análisis del entorno competitivo, formulación e implementación de estrategia, medición del desempeño</t>
  </si>
  <si>
    <t>Diagnóstico estratégico, ventaja competitiva, direccionamiento, despliegue y control estratégico</t>
  </si>
  <si>
    <t>Muy alta - núcleo de la dirección de empresas</t>
  </si>
  <si>
    <t>Business Strategy</t>
  </si>
  <si>
    <t>N5 / N6-7</t>
  </si>
  <si>
    <t>SimVenture o Businessglobal / Business Strategy (CompanyGame)</t>
  </si>
  <si>
    <t>Es la asignatura de mayor encaje del programa: el estudiante debe formular una estrategia y sostenerla durante varios períodos frente a competidores, que es precisamente lo que SimVenture obliga a hacer. Permite evaluar la estrategia por resultados y no por presentación. Dentro de CompanyGame, Businessglobal y Business Strategy son las alternativas de mayor nivel para esta asignatura y permiten ofrecer dos opciones de precio en la misma conversación.</t>
  </si>
  <si>
    <t>CONTROL ESTADÍSTICA DE LA CALIDAD</t>
  </si>
  <si>
    <t>Calidad y mejoramiento</t>
  </si>
  <si>
    <t>Control y mejora de procesos mediante herramientas estadísticas</t>
  </si>
  <si>
    <t>Cartas de control, capacidad de proceso, muestreo de aceptación, seis sigma</t>
  </si>
  <si>
    <t>Media - calidad como variable de gestión operativa</t>
  </si>
  <si>
    <t>DP-06: simulador de control estadístico de procesos con costo de la no calidad</t>
  </si>
  <si>
    <t>Desarrollo propio (simulador de control de calidad)</t>
  </si>
  <si>
    <t>Ninguno de los tres simuladores modela control estadístico de procesos. Existe una oportunidad clara de desarrollo propio: un proceso simulado donde el estudiante ajuste parámetros, muestree y vea el costo de la no calidad.</t>
  </si>
  <si>
    <t>No aplica (hoy)</t>
  </si>
  <si>
    <t>PROCESOS INDUSTRIALES</t>
  </si>
  <si>
    <t>Producción y operaciones</t>
  </si>
  <si>
    <t>Comprensión y selección de procesos de manufactura y transformación</t>
  </si>
  <si>
    <t>Procesos de manufactura, tecnologías de producción, parámetros de proceso</t>
  </si>
  <si>
    <t>Media - decisiones de tecnología y capacidad</t>
  </si>
  <si>
    <t>DP-01/DP-09: simulador de planta con selección de procesos y parámetros de producción</t>
  </si>
  <si>
    <t>Desarrollo propio (simulador de planta)</t>
  </si>
  <si>
    <t>El contenido es técnico-productivo; ningún simulador del portafolio lo cubre. Es candidato natural a un simulador propio de planta.</t>
  </si>
  <si>
    <t>COSTOS DE OPERACIÓN</t>
  </si>
  <si>
    <t>Estructuración y análisis de costos; decisiones basadas en márgenes</t>
  </si>
  <si>
    <t>Costeo por órdenes y procesos, costeo ABC, punto de equilibrio, costos para la decisión</t>
  </si>
  <si>
    <t>Alta - los costos son la base de la decisión empresarial</t>
  </si>
  <si>
    <t>SimVenture o ContaTrainer / Kapital (CompanyGame)</t>
  </si>
  <si>
    <t>En SimVenture cada decisión modifica la estructura de costos y el punto de equilibrio, lo que convierte el costeo en una consecuencia visible y no en un ejercicio de hoja de cálculo.</t>
  </si>
  <si>
    <t>INVESTIGACIÓN OPERATIVA I</t>
  </si>
  <si>
    <t>Modelado y solución de problemas de optimización con restricciones</t>
  </si>
  <si>
    <t>Programación lineal, método símplex, dualidad, análisis de sensibilidad</t>
  </si>
  <si>
    <t>Media - optimiza decisiones de negocio pero desde el método</t>
  </si>
  <si>
    <t>DP-01: simulador de asignación de recursos escasos con restricciones</t>
  </si>
  <si>
    <t>Desarrollo propio (simulador de decisiones con restricciones)</t>
  </si>
  <si>
    <t>El curso enseña la técnica de optimización, no la gestión. Un simulador propio que obligue a asignar recursos escasos y ver consecuencias sería pertinente; los tres simuladores actuales no lo cubren.</t>
  </si>
  <si>
    <t>SISTEMA INTEGRADO DE GESTIÓN</t>
  </si>
  <si>
    <t>Calidad y sistemas de gestión</t>
  </si>
  <si>
    <t>Diseño, implementación y auditoría de sistemas de gestión integrados</t>
  </si>
  <si>
    <t>ISO 9001, 14001, 45001, gestión por procesos, auditoría, mejora continua</t>
  </si>
  <si>
    <t>Alta - gestión organizacional por procesos</t>
  </si>
  <si>
    <t>DP-03: simulador de implementación y auditoría de un sistema integrado de gestión</t>
  </si>
  <si>
    <t>Desarrollo propio (simulador de implementación de SGI)</t>
  </si>
  <si>
    <t>La implementación de un SGI es un proyecto con alcance, plazos y recursos, lo que da entrada parcial a SimProject. La oportunidad fuerte es un simulador propio de implementación y auditoría, aplicable también a Ing. de Sistemas. ESGManagement cubre parcialmente el componente ambiental y social del sistema integrado de gestión.</t>
  </si>
  <si>
    <t>Innovación y desarrollo de producto</t>
  </si>
  <si>
    <t>Desarrollo de nuevos productos y servicios desde la necesidad del cliente hasta la viabilidad</t>
  </si>
  <si>
    <t>Voz del cliente, QFD, ciclo de vida del producto, prototipado, viabilidad comercial</t>
  </si>
  <si>
    <t>Muy alta - innovación, producto y mercado</t>
  </si>
  <si>
    <t>SimAgile (principal) + SimVenture o InnovaTech (CompanyGame)</t>
  </si>
  <si>
    <t>El desarrollo de producto moderno es iterativo y basado en validación, que es el modelo de SimAgile. SimVenture agrega la prueba de viabilidad comercial del producto diseñado. Es la asignatura con doble encaje más claro del programa. InnovaTech es la alternativa CompanyGame más ajustada al desarrollo de nuevos productos con base tecnológica.</t>
  </si>
  <si>
    <t>INGENIERÍA DE MÉTODOS</t>
  </si>
  <si>
    <t>Análisis y mejora del trabajo; medición de la productividad</t>
  </si>
  <si>
    <t>Estudio de métodos, estudio de tiempos, balanceo, estandarización</t>
  </si>
  <si>
    <t>Media - productividad operativa</t>
  </si>
  <si>
    <t>DP-01: simulador de estudio del trabajo, tiempos y productividad de línea</t>
  </si>
  <si>
    <t>Desarrollo propio (simulador de estudio del trabajo)</t>
  </si>
  <si>
    <t>Contenido operativo específico no cubierto por el portafolio. Alto potencial de simulador propio de línea de producción con medición de tiempos.</t>
  </si>
  <si>
    <t>Evaluación financiera</t>
  </si>
  <si>
    <t>Evaluación económica de alternativas de inversión</t>
  </si>
  <si>
    <t>Valor del dinero en el tiempo, VPN, TIR, series, reemplazo de activos</t>
  </si>
  <si>
    <t>Alta - decisiones de inversión</t>
  </si>
  <si>
    <t>SimVenture + SimProject o Kapital (CompanyGame)</t>
  </si>
  <si>
    <t>SimVenture obliga a invertir con recursos limitados y a ver el retorno en varios períodos. SimProject aporta la evaluación económica de alternativas dentro de un proyecto con restricciones de tiempo y costo.</t>
  </si>
  <si>
    <t>Comprensión de la sostenibilidad y su incorporación a la práctica profesional</t>
  </si>
  <si>
    <t>ODS, desarrollo sostenible, responsabilidad social, impacto ambiental</t>
  </si>
  <si>
    <t>Media - sostenibilidad como criterio de decisión empresarial</t>
  </si>
  <si>
    <t>ESGManagement</t>
  </si>
  <si>
    <t>N5</t>
  </si>
  <si>
    <t>Cubierto por el catálogo (familia ESG Management); no requiere desarrollo propio</t>
  </si>
  <si>
    <t>Sólo tendría encaje si el simulador modela explícitamente el trade-off entre rentabilidad e impacto. No es el caso hoy, por lo que se registra como oportunidad de desarrollo propio. CAMBIO IMPORTANTE CON EL CATÁLOGO COMPANYGAME: la familia ESG Management cubre el objeto completo de esta cátedra, que hoy no tiene ninguna herramienta práctica asociada. Además es obligatoria en los dos programas, lo que permite una sola conversación con doble resultado.</t>
  </si>
  <si>
    <t>ELECTIVA III</t>
  </si>
  <si>
    <t>Diagnóstico financiero y decisiones de inversión, financiación y liquidez</t>
  </si>
  <si>
    <t>Análisis de estados financieros, flujo de caja, costo de capital, capital de trabajo, indicadores</t>
  </si>
  <si>
    <t>Muy alta - decisión financiera empresarial</t>
  </si>
  <si>
    <t>Kapital</t>
  </si>
  <si>
    <t>SimVenture o Kapital (CompanyGame)</t>
  </si>
  <si>
    <t>SimVenture cierra cada ciclo con estados financieros derivados de las decisiones del estudiante; el diagnóstico financiero deja de ser un ejercicio sobre datos ajenos y pasa a ser sobre las consecuencias de sus propias decisiones. Kapital es la alternativa CompanyGame específica para la asignatura de finanzas y permite ofrecer una opción distinta si el docente prefiere un simulador exclusivamente financiero.</t>
  </si>
  <si>
    <t>INVESTIGACIÓN OPERATIVA II</t>
  </si>
  <si>
    <t>Modelado de redes, líneas de espera e inventarios</t>
  </si>
  <si>
    <t>Modelos de redes, PERT/CPM, teoría de colas, modelos de inventario</t>
  </si>
  <si>
    <t>Alta - PERT/CPM es planeación de proyectos</t>
  </si>
  <si>
    <t>Cubierto parcialmente por SimProject en la unidad de PERT/CPM</t>
  </si>
  <si>
    <t>El componente PERT/CPM del curso es exactamente el motor de SimProject: red de actividades, ruta crítica, holguras y reasignación de recursos. Es un encaje parcial pero muy preciso sobre una unidad completa del curso.</t>
  </si>
  <si>
    <t>PLANEACIÓN Y CONTROL DE LA PRODUCCIÓN Y OPERACIONES</t>
  </si>
  <si>
    <t>Planeación agregada, programación y control de la producción y los inventarios</t>
  </si>
  <si>
    <t>Pronósticos, plan maestro, MRP, capacidad, inventarios, programación</t>
  </si>
  <si>
    <t>Alta - operaciones como decisión de gestión</t>
  </si>
  <si>
    <t>DP-01: simulador de planeación y control de producción, capacidad e inventarios</t>
  </si>
  <si>
    <t>Desarrollo propio (simulador de operaciones) + SimVenture complementario</t>
  </si>
  <si>
    <t>SimVenture incluye decisiones de producción, pero simplificadas frente al nivel del curso. La oportunidad principal es un simulador propio de planeación y control de operaciones, con alta transversalidad hacia IO I/II, Logística y Simulación de Procesos.</t>
  </si>
  <si>
    <t>Mercadeo y comercial</t>
  </si>
  <si>
    <t>Análisis de mercado y diseño de la estrategia comercial</t>
  </si>
  <si>
    <t>Segmentación, posicionamiento, mezcla de mercadeo, precio, canales, comunicación</t>
  </si>
  <si>
    <t>Muy alta - decisión comercial</t>
  </si>
  <si>
    <t>Coffee Time</t>
  </si>
  <si>
    <t>N1-2 / N6-7</t>
  </si>
  <si>
    <t>SimVenture o MarketGame / GlobalMARKET (CompanyGame)</t>
  </si>
  <si>
    <t>SimVenture pone precio, promoción y canal a competir contra otros equipos en un mercado con demanda variable; el resultado comercial se mide en ventas y participación, no en un plan de mercadeo escrito. La familia de Marketing y ventas de CompanyGame ofrece cuatro niveles distintos para esta única asignatura, lo que permite ajustar la propuesta al presupuesto del programa.</t>
  </si>
  <si>
    <t>Innovación y tecnología</t>
  </si>
  <si>
    <t>Gestión de la innovación y de la incorporación tecnológica en la organización</t>
  </si>
  <si>
    <t>Vigilancia tecnológica, gestión de la innovación, transferencia, transformación digital</t>
  </si>
  <si>
    <t>Muy alta - innovación y transformación digital</t>
  </si>
  <si>
    <t>InnovaTech</t>
  </si>
  <si>
    <t>SimAgile o InnovaTech / TRANSFORMA (CompanyGame)</t>
  </si>
  <si>
    <t>SimAgile trabaja la gestión de productos y equipos en entornos de cambio tecnológico, que es el corazón del curso. SimVenture aporta si el curso evalúa la rentabilidad de la innovación. La familia Business Transformation es la alternativa CompanyGame natural de esta asignatura y refuerza el discurso de transformación digital ante la facultad.</t>
  </si>
  <si>
    <t>OPTATIVA I</t>
  </si>
  <si>
    <t>Optativo</t>
  </si>
  <si>
    <t>Espacio optativo sin contenido definido</t>
  </si>
  <si>
    <t>Depende del contenido de la optativa</t>
  </si>
  <si>
    <t>Espacio de profundización sin contenido definido en la malla; permite proponer un curso optativo basado en simulador.</t>
  </si>
  <si>
    <t>Principal (si se diseña la optativa)</t>
  </si>
  <si>
    <t>MODELOS MATEMÁTICOS ESTOCÁSTICOS</t>
  </si>
  <si>
    <t>Modelado de sistemas con incertidumbre</t>
  </si>
  <si>
    <t>Cadenas de Markov, procesos de Poisson, colas, simulación Monte Carlo</t>
  </si>
  <si>
    <t>Media - base de la decisión bajo incertidumbre</t>
  </si>
  <si>
    <t>DP-01/DP-06: simulador de decisiones bajo incertidumbre con variabilidad de proceso</t>
  </si>
  <si>
    <t>Desarrollo propio (simulador estocástico)</t>
  </si>
  <si>
    <t>El curso ya trabaja con simulación como método matemático; el encaje sería con un simulador propio de decisiones bajo incertidumbre, no con los simuladores de gestión del portafolio.</t>
  </si>
  <si>
    <t>SEGURIDAD Y SALUD EN EL TRABAJO</t>
  </si>
  <si>
    <t>Seguridad y salud ocupacional</t>
  </si>
  <si>
    <t>Diseño y gestión del SG-SST; identificación y control de riesgos laborales</t>
  </si>
  <si>
    <t>Matriz de riesgos, normatividad SST, investigación de accidentes, planes de emergencia</t>
  </si>
  <si>
    <t>Media - gestión del riesgo laboral</t>
  </si>
  <si>
    <t>DP-08: simulador de gestión del SG-SST e investigación de accidentes</t>
  </si>
  <si>
    <t>Desarrollo propio (simulador SG-SST)</t>
  </si>
  <si>
    <t>No hay encaje con los simuladores de negocio. La implementación del SG-SST puede tratarse como proyecto (SimProject), pero la oportunidad real es un simulador propio de gestión de riesgos y accidentes, con demanda en varios programas.</t>
  </si>
  <si>
    <t>Gestión de proyectos</t>
  </si>
  <si>
    <t>Formulación integral de proyectos y evaluación de su viabilidad</t>
  </si>
  <si>
    <t>Estudio de mercado, técnico, administrativo, financiero y ambiental; flujo de caja del proyecto; evaluación</t>
  </si>
  <si>
    <t>Muy alta - proyecto y negocio</t>
  </si>
  <si>
    <t>SimVenture + SimProject; alternativa CompanyGame: familia Emprendimiento</t>
  </si>
  <si>
    <t>Única asignatura del programa con encaje alto simultáneo en dos simuladores: SimVenture cubre la viabilidad de mercado y financiera del negocio; SimProject cubre la planeación, el costeo y el control del proyecto. Permite proponer un paquete de dos productos en un solo curso. Como en las mallas no existe asignatura de emprendimiento, esta es la única puerta de entrada de la familia Emprendimiento de CompanyGame en los dos programas.</t>
  </si>
  <si>
    <t>METODOLOGÍA DE LA INVESTIGACIÓN</t>
  </si>
  <si>
    <t>Investigación</t>
  </si>
  <si>
    <t>Diseño y desarrollo de proyectos de investigación</t>
  </si>
  <si>
    <t>Problema, marco teórico, diseño metodológico, análisis de resultados</t>
  </si>
  <si>
    <t>No requiere simulador — el objeto del curso es el método científico</t>
  </si>
  <si>
    <t>El proyecto de investigación puede gestionarse con lógica de proyecto, pero el objeto del curso es el método científico, no la gestión.</t>
  </si>
  <si>
    <t>CONSTITUCIÓN POLÍTICA</t>
  </si>
  <si>
    <t>Comprensión del ordenamiento constitucional colombiano</t>
  </si>
  <si>
    <t>Constitución, derechos, estructura del Estado</t>
  </si>
  <si>
    <t>Formación humanística sin contenidos de gestión.</t>
  </si>
  <si>
    <t>ÉTICA</t>
  </si>
  <si>
    <t>Razonamiento ético aplicado al ejercicio profesional</t>
  </si>
  <si>
    <t>Teorías éticas, ética profesional, dilemas</t>
  </si>
  <si>
    <t>Baja - dilemas éticos en la decisión empresarial</t>
  </si>
  <si>
    <t>DP-07: simulador de dilemas éticos en la decisión profesional</t>
  </si>
  <si>
    <t>Desarrollo propio (simulador de dilemas éticos)</t>
  </si>
  <si>
    <t>Los simuladores del portafolio no modelan consecuencias éticas de la decisión. Es una oportunidad de desarrollo propio transversal a ambos programas.</t>
  </si>
  <si>
    <t>OPTATIVA II</t>
  </si>
  <si>
    <t>Espacio de profundización sin contenido definido. Ver Optativa I.</t>
  </si>
  <si>
    <t>DISEÑO DE INSTALACIONES INDUSTRIALES Y DE SERVICIOS</t>
  </si>
  <si>
    <t>Diseño de la localización, distribución y capacidad de instalaciones</t>
  </si>
  <si>
    <t>Localización, distribución en planta, manejo de materiales, dimensionamiento</t>
  </si>
  <si>
    <t>Media - inversión y capacidad</t>
  </si>
  <si>
    <t>DP-09: simulador de distribución en planta y flujo de materiales</t>
  </si>
  <si>
    <t>Desarrollo propio (simulador de distribución en planta)</t>
  </si>
  <si>
    <t>El rediseño de una instalación es un proyecto (entrada parcial de SimProject), pero el contenido técnico de layout no está cubierto. Candidato fuerte a simulador propio.</t>
  </si>
  <si>
    <t>LOGÍSTICA Y CADENA DE SUMINISTRO</t>
  </si>
  <si>
    <t>Logística y cadena de suministro</t>
  </si>
  <si>
    <t>Diseño y gestión de la cadena de abastecimiento y la distribución</t>
  </si>
  <si>
    <t>Compras, inventarios, almacenamiento, transporte, distribución, indicadores logísticos</t>
  </si>
  <si>
    <t>Alta - decisiones de abastecimiento con impacto financiero</t>
  </si>
  <si>
    <t>DP-04: simulador de cadena de suministro con varios eslabones y efecto látigo</t>
  </si>
  <si>
    <t>Desarrollo propio (simulador de cadena de suministro)</t>
  </si>
  <si>
    <t>SimVenture incluye compras e inventarios de forma simplificada. El curso exige el efecto látigo, el trade-off nivel de servicio vs. costo y la coordinación entre eslabones, que sólo un simulador propio de cadena cubriría bien.</t>
  </si>
  <si>
    <t>INGENIERÍA APLICADA</t>
  </si>
  <si>
    <t>Integración profesional</t>
  </si>
  <si>
    <t>Integración de las competencias del programa en un proyecto de ingeniería real</t>
  </si>
  <si>
    <t>Proyecto integrador, diagnóstico, diseño de solución, implementación y evaluación</t>
  </si>
  <si>
    <t>Muy alta - integra gestión, proyecto y operación</t>
  </si>
  <si>
    <t>Curso integrador donde el estudiante debe planear, ejecutar y controlar; SimProject entrega el marco de alcance, cronograma, costos y riesgos sobre el que puede estructurarse todo el curso. Es la asignatura de cierre con mayor encaje.</t>
  </si>
  <si>
    <t>SIMULACIÓN DE PROCESOS</t>
  </si>
  <si>
    <t>Modelado y simulación</t>
  </si>
  <si>
    <t>Modelado, simulación y experimentación sobre sistemas productivos y de servicios</t>
  </si>
  <si>
    <t>Modelos de simulación de eventos discretos, variables aleatorias, validación, experimentación</t>
  </si>
  <si>
    <t>Alta - cultura de simulación ya instalada</t>
  </si>
  <si>
    <t>DP-01: simulador de operaciones que sirva de caso a modelar en el curso</t>
  </si>
  <si>
    <t>Desarrollo propio (con SimVenture como caso de negocio)</t>
  </si>
  <si>
    <t>Es la asignatura donde la simulación ya es aceptada metodológicamente, lo que la convierte en la mejor puerta de entrada académica al programa aunque el encaje directo con los tres simuladores sea parcial. El docente de este curso es el aliado natural para introducir el portafolio.</t>
  </si>
  <si>
    <t>PRÁCTICA EMPRESARIAL</t>
  </si>
  <si>
    <t>Aplicación de las competencias del programa en un entorno empresarial real</t>
  </si>
  <si>
    <t>Diagnóstico organizacional, intervención, informe de práctica</t>
  </si>
  <si>
    <t>Alta - contexto empresarial real</t>
  </si>
  <si>
    <t>SimVenture o Businessglobal (CompanyGame) como preparación previa</t>
  </si>
  <si>
    <t>El simulador no reemplaza la práctica, pero sirve como entrenamiento previo a la inmersión empresarial. Uso exploratorio, de bajo esfuerzo de venta y alta aceptación.</t>
  </si>
  <si>
    <t>OPTATIVA III</t>
  </si>
  <si>
    <t>Nota: Explícito en la malla → programa, semestre, asignatura, créditos y componente de formación. Inferencia académica → área temática, competencias, temáticas, relación con la gestión y todos los niveles de compatibilidad. Grado de ajuste con el catálogo CompanyGame: Encaje perfecto = el simulador cubre el objeto central del curso; Encaje parcial = cubre una unidad o el contexto; No encaja = ningún simulador del catálogo aplica. Ver hoja 'Catálogo CompanyGame'.</t>
  </si>
  <si>
    <t>Matriz de relacionamiento – Ingeniería de Sistemas</t>
  </si>
  <si>
    <t>Universidad Libre – Facultad de Ingeniería · SNIES 11584 · 53 asignaturas · 144 créditos</t>
  </si>
  <si>
    <t>Ingeniería de Sistemas</t>
  </si>
  <si>
    <t>Comprensión del campo de acción del ingeniero de sistemas; trabajo en equipo</t>
  </si>
  <si>
    <t>Perfil profesional, áreas de la ingeniería de sistemas, rol del ingeniero</t>
  </si>
  <si>
    <t>Media - contextualización profesional</t>
  </si>
  <si>
    <t>Curso de contextualización sin decisiones de gestión. Un módulo corto puede usarse como actividad motivadora, pero no hay contenido que el simulador cubra. Un simulador de nivel 1-2 funciona como primera experiencia de decisión empresarial en primer semestre, con alto volumen de estudiantes.</t>
  </si>
  <si>
    <t>Pensamiento algorítmico y resolución estructurada de problemas</t>
  </si>
  <si>
    <t>Lógica, diagramas de flujo, pseudocódigo, algoritmos básicos</t>
  </si>
  <si>
    <t>Competencia técnica sin decisiones de gestión.</t>
  </si>
  <si>
    <t>LÓGICA MATEMÁTICA</t>
  </si>
  <si>
    <t>Razonamiento formal y demostración</t>
  </si>
  <si>
    <t>Lógica proposicional y de predicados, inferencia, demostración</t>
  </si>
  <si>
    <t>Ciencias básicas sin componente de gestión.</t>
  </si>
  <si>
    <t>Límites, derivadas, optimización</t>
  </si>
  <si>
    <t>Modelado físico y experimentación</t>
  </si>
  <si>
    <t>Desarrolla trabajo en equipo pero sin contenido de gestión que justifique un simulador.</t>
  </si>
  <si>
    <t>Razonamiento matemático, integración</t>
  </si>
  <si>
    <t>La malla no define contenido. Comercialmente es el espacio de inserción más rápido: permite proponer una electiva completa basada en simulador sin modificar el plan de estudios.</t>
  </si>
  <si>
    <t>Modelado matricial y solución de sistemas</t>
  </si>
  <si>
    <t>FUNDAMENTOS DE PROGRAMACIÓN</t>
  </si>
  <si>
    <t>Desarrollo de software</t>
  </si>
  <si>
    <t>Programación estructurada, resolución de problemas mediante código</t>
  </si>
  <si>
    <t>Tipos de datos, estructuras de control, funciones, depuración</t>
  </si>
  <si>
    <t>Competencia técnica individual; no hay decisiones de gestión ni dinámica de equipo formalizada.</t>
  </si>
  <si>
    <t>PENSAMIENTO SISTÉMICO</t>
  </si>
  <si>
    <t>Pensamiento sistémico y organización</t>
  </si>
  <si>
    <t>Análisis de sistemas complejos, comprensión de interdependencias y efectos de segundo orden</t>
  </si>
  <si>
    <t>Teoría general de sistemas, causalidad circular, dinámica de sistemas, visión holística de la organización</t>
  </si>
  <si>
    <t>Alta - la organización entendida como sistema de decisiones interdependientes</t>
  </si>
  <si>
    <t>Cubierto por Business21 y SimVenture; opcional un simulador de dinámica de sistemas</t>
  </si>
  <si>
    <t>SimVenture o Business21 (CompanyGame)</t>
  </si>
  <si>
    <t>Es el curso donde el simulador de empresa tiene su justificación pedagógica más pura: el estudiante comprueba que una decisión en un área altera el resultado de otra, lo que un caso escrito no puede mostrar. Argumento fácil de sostener ante el docente. Business21 tiene el nivel adecuado para una asignatura de segundo semestre y resulta más económico que un simulador de nivel superior.</t>
  </si>
  <si>
    <t>ELECTRÓNICA DIGITAL</t>
  </si>
  <si>
    <t>Hardware y electrónica</t>
  </si>
  <si>
    <t>Diseño de circuitos lógicos digitales</t>
  </si>
  <si>
    <t>Álgebra de Boole, compuertas, circuitos combinacionales y secuenciales</t>
  </si>
  <si>
    <t>Laboratorio virtual de electrónica digital</t>
  </si>
  <si>
    <t>Desarrollo propio (laboratorio virtual de electrónica)</t>
  </si>
  <si>
    <t>Contenido técnico sin decisiones de gestión; oportunidad únicamente en línea de laboratorios virtuales.</t>
  </si>
  <si>
    <t>ELECTRICIDAD Y MAGNETISMO Y LABORATORIO</t>
  </si>
  <si>
    <t>Fundamentos electromagnéticos y experimentación</t>
  </si>
  <si>
    <t>Sin relación con simuladores de gestión.</t>
  </si>
  <si>
    <t>CÁLCULO MULTIVARIADO Y VECTORIAL</t>
  </si>
  <si>
    <t>PROBABILIDAD Y ESTADÍSTICA</t>
  </si>
  <si>
    <t>Análisis de datos y razonamiento probabilístico</t>
  </si>
  <si>
    <t>Distribuciones, medidas descriptivas, inferencia</t>
  </si>
  <si>
    <t>Desarrollo propio (decisiones con datos)</t>
  </si>
  <si>
    <t>El curso enseña la herramienta estadística, no la decisión de gestión. Los simuladores del portafolio no aportan a sus resultados de aprendizaje.</t>
  </si>
  <si>
    <t>ESTRUCTURAS DE DATO</t>
  </si>
  <si>
    <t>Diseño y uso eficiente de estructuras de datos</t>
  </si>
  <si>
    <t>Listas, pilas, colas, árboles, grafos, complejidad</t>
  </si>
  <si>
    <t>Contenido algorítmico sin decisiones de gestión.</t>
  </si>
  <si>
    <t>Proceso de diseño, requisitos de usuario, prototipado, trabajo en equipo</t>
  </si>
  <si>
    <t>Metodología de diseño, requisitos, iteración, prototipos, evaluación de alternativas</t>
  </si>
  <si>
    <t>El diseño es iterativo y por equipos: coincide con la mecánica de SimAgile (ciclos cortos, priorización, entrega incremental). SimVenture aportaría la validación comercial de la solución diseñada.</t>
  </si>
  <si>
    <t>ARQUITECTURA DE COMPUTADORES</t>
  </si>
  <si>
    <t>Hardware y sistemas</t>
  </si>
  <si>
    <t>Comprensión de la organización interna del computador</t>
  </si>
  <si>
    <t>CPU, memoria, buses, ensamblador, rendimiento</t>
  </si>
  <si>
    <t>Contenido técnico sin decisiones de gestión.</t>
  </si>
  <si>
    <t>Ingeniería de software</t>
  </si>
  <si>
    <t>Comprensión del ciclo de vida del software, elicitación de requisitos y modelos de proceso</t>
  </si>
  <si>
    <t>Ciclo de vida, modelos de proceso (predictivos y ágiles), requisitos, modelado UML</t>
  </si>
  <si>
    <t>Alta - proceso, equipo y producto de software</t>
  </si>
  <si>
    <t>Es el primer curso donde se enseñan los marcos ágiles: SimAgile permite que el estudiante viva un sprint completo en lugar de memorizar los roles y ceremonias de Scrum. Encaje directo con una unidad completa del programa.</t>
  </si>
  <si>
    <t>Comprensión de la sostenibilidad aplicada a la práctica profesional</t>
  </si>
  <si>
    <t>Media - sostenibilidad como criterio de decisión</t>
  </si>
  <si>
    <t>Sólo habría encaje si el simulador modela el trade-off entre rentabilidad e impacto. Se registra como oportunidad de desarrollo propio. CAMBIO IMPORTANTE CON EL CATÁLOGO COMPANYGAME: la familia ESG Management cubre el objeto completo de esta cátedra, obligatoria en los dos programas. Permite una propuesta conjunta de facultad.</t>
  </si>
  <si>
    <t>FUNDAMENTOS DE BASES DE DATOS</t>
  </si>
  <si>
    <t>Datos e información</t>
  </si>
  <si>
    <t>Modelado y diseño de bases de datos relacionales</t>
  </si>
  <si>
    <t>Modelo entidad-relación, normalización, SQL</t>
  </si>
  <si>
    <t>PROGRAMACIÓN I</t>
  </si>
  <si>
    <t>Programación orientada a objetos</t>
  </si>
  <si>
    <t>Clases, objetos, herencia, polimorfismo</t>
  </si>
  <si>
    <t>Competencia técnica individual sin decisiones de gestión.</t>
  </si>
  <si>
    <t>Diseño arquitectónico, aseguramiento de calidad y gestión del proceso de desarrollo</t>
  </si>
  <si>
    <t>Arquitectura de software, patrones, pruebas, gestión de configuración, gestión del proceso</t>
  </si>
  <si>
    <t>Alta - proceso, calidad y equipo de desarrollo</t>
  </si>
  <si>
    <t>SimAgile (principal) + SimProject (complementario)</t>
  </si>
  <si>
    <t>El curso combina disciplina técnica con gestión del proceso: SimAgile aporta la dinámica de equipo y entrega incremental, SimProject el control de alcance, tiempo y costo. Doble encaje con argumento académico sólido.</t>
  </si>
  <si>
    <t>MATEMÁTICAS DISCRETAS</t>
  </si>
  <si>
    <t>Razonamiento discreto y combinatorio</t>
  </si>
  <si>
    <t>Conjuntos, relaciones, grafos, combinatoria, recurrencia</t>
  </si>
  <si>
    <t>SISTEMAS OPERATIVOS</t>
  </si>
  <si>
    <t>Infraestructura y sistemas</t>
  </si>
  <si>
    <t>Comprensión y administración de sistemas operativos</t>
  </si>
  <si>
    <t>Procesos, memoria, archivos, concurrencia, planificación</t>
  </si>
  <si>
    <t>Contenido técnico de infraestructura sin decisiones de gestión.</t>
  </si>
  <si>
    <t>SISTEMAS DE BASES DE DATOS</t>
  </si>
  <si>
    <t>Administración y optimización de bases de datos</t>
  </si>
  <si>
    <t>Transacciones, concurrencia, optimización, administración</t>
  </si>
  <si>
    <t>FUNDAMENTOS DE ECONOMÍA</t>
  </si>
  <si>
    <t>Comprensión del entorno económico y de los mercados</t>
  </si>
  <si>
    <t>SimVenture ilustra el efecto de precio, demanda y competencia; no cubre el contenido macroeconómico, por lo que su rol es de ilustración y no de eje del curso.</t>
  </si>
  <si>
    <t>Gestión de proyectos de software</t>
  </si>
  <si>
    <t>Gestión del proyecto y del equipo de desarrollo; medición y mejora del proceso</t>
  </si>
  <si>
    <t>Planeación y estimación, métricas, gestión de riesgos, calidad, despliegue, gestión de equipos</t>
  </si>
  <si>
    <t>Muy alta - gestión de proyectos y equipos de tecnología</t>
  </si>
  <si>
    <t>Es el curso de gestión del programa dentro de la línea de software: cubre simultáneamente el marco ágil (SimAgile) y el control de alcance, cronograma, costos y riesgos (SimProject). Permite proponer los dos simuladores en un mismo curso. Organization &amp; People Management aporta la dimensión de dirección de personas y equipos del curso.</t>
  </si>
  <si>
    <t>PROGRAMACIÓN II</t>
  </si>
  <si>
    <t>Programación avanzada y estructuración de aplicaciones</t>
  </si>
  <si>
    <t>Estructuras avanzadas, persistencia, patrones básicos</t>
  </si>
  <si>
    <t>Estudio de mercado, técnico, administrativo y financiero; flujo de caja; evaluación de viabilidad</t>
  </si>
  <si>
    <t>SimProject + SimVenture; alternativa CompanyGame: familia Emprendimiento</t>
  </si>
  <si>
    <t>Encaje alto simultáneo en dos simuladores: SimVenture cubre la viabilidad comercial y financiera del negocio propuesto, SimProject la planeación, costeo y control del proyecto. Es la asignatura con mayor argumento para un paquete de dos productos. Única puerta de entrada de la familia Emprendimiento de CompanyGame en este programa, ya que la malla no tiene asignatura de creación de empresa.</t>
  </si>
  <si>
    <t>PROGRAMACIÓN WEB</t>
  </si>
  <si>
    <t>Desarrollo de aplicaciones web</t>
  </si>
  <si>
    <t>Front-end, back-end, servicios, despliegue</t>
  </si>
  <si>
    <t>Baja - el trabajo por iteraciones es de forma, no de contenido</t>
  </si>
  <si>
    <t>Ninguno (SimAgile exploratorio)</t>
  </si>
  <si>
    <t>Si el curso organiza el proyecto por sprints, SimAgile puede reforzar la dinámica de equipo, pero el contenido evaluado es técnico. No conviene forzar la venta aquí.</t>
  </si>
  <si>
    <t>PROGRAMACIÓN LINEAL</t>
  </si>
  <si>
    <t>Formulación de modelos, símplex, análisis de sensibilidad</t>
  </si>
  <si>
    <t>Media - optimiza decisiones pero desde el método</t>
  </si>
  <si>
    <t>Simulador de asignación de recursos escasos (compartido con Ing. Industrial)</t>
  </si>
  <si>
    <t>Desarrollo propio (asignación de recursos escasos)</t>
  </si>
  <si>
    <t>El curso enseña la técnica, no la gestión. Ninguno de los tres simuladores lo cubre; sí es candidato a desarrollo propio compartido con Ing. Industrial.</t>
  </si>
  <si>
    <t>ARQUITECTURA DE INFORMACIÓN</t>
  </si>
  <si>
    <t>Estructuración y gobierno de la información en la organización</t>
  </si>
  <si>
    <t>Organización de contenidos, taxonomías, experiencia de usuario, gobierno de datos</t>
  </si>
  <si>
    <t>Media - la información como activo organizacional</t>
  </si>
  <si>
    <t>DP-02: simulador de gobierno de la información dentro de la transformación digital</t>
  </si>
  <si>
    <t>SimAgile (exploratorio)</t>
  </si>
  <si>
    <t>El diseño de la arquitectura de información suele hacerse de forma iterativa con usuarios, lo que da entrada parcial a SimAgile; el contenido central del curso, sin embargo, no está cubierto.</t>
  </si>
  <si>
    <t>REDES DE COMPUTADORES</t>
  </si>
  <si>
    <t>Infraestructura y redes</t>
  </si>
  <si>
    <t>Diseño, configuración y administración de redes</t>
  </si>
  <si>
    <t>Modelo OSI/TCP-IP, enrutamiento, conmutación, servicios de red</t>
  </si>
  <si>
    <t>Ya cubierto por emuladores de red gratuitos y maduros; sin oportunidad diferencial</t>
  </si>
  <si>
    <t>Existe simulación de redes, pero el mercado ya está cubierto por herramientas maduras y gratuitas (tipo emuladores de red), por lo que un desarrollo propio tendría baja diferenciación.</t>
  </si>
  <si>
    <t>Espacio de profundización sin contenido definido; permite proponer un curso optativo basado en simulador.</t>
  </si>
  <si>
    <t>SEGURIDAD DE LA INFORMACIÓN</t>
  </si>
  <si>
    <t>Seguridad de la información</t>
  </si>
  <si>
    <t>Gestión de la seguridad de la información y del riesgo tecnológico</t>
  </si>
  <si>
    <t>SGSI, ISO 27001, análisis de riesgos, controles, gestión de incidentes</t>
  </si>
  <si>
    <t>Alta - gestión del riesgo tecnológico</t>
  </si>
  <si>
    <t>DP-05: simulador de gestión de incidentes de seguridad de la información</t>
  </si>
  <si>
    <t>Desarrollo propio (simulador de gestión de incidentes)</t>
  </si>
  <si>
    <t>La implementación de un SGSI es un proyecto (entrada parcial de SimProject), pero la oportunidad fuerte es un simulador propio de decisión ante incidentes de seguridad, tema con alta demanda y sin oferta local relevante.</t>
  </si>
  <si>
    <t>METODOLOGÍA DE LA INVESTIGACION</t>
  </si>
  <si>
    <t>El proyecto de investigación puede gestionarse con lógica de proyecto, pero el objeto del curso es el método científico.</t>
  </si>
  <si>
    <t>INTELIGENCIA ARTIFICIAL</t>
  </si>
  <si>
    <t>Inteligencia artificial y datos</t>
  </si>
  <si>
    <t>Diseño y aplicación de técnicas de IA a problemas reales</t>
  </si>
  <si>
    <t>Búsqueda, aprendizaje automático, modelos, agentes, evaluación de modelos</t>
  </si>
  <si>
    <t>Media - la IA como decisión de adopción tecnológica</t>
  </si>
  <si>
    <t>DP-02: simulador de adopción y gobernanza de IA en la organización</t>
  </si>
  <si>
    <t>Desarrollo propio (adopción y gobernanza de IA)</t>
  </si>
  <si>
    <t>El contenido técnico no está cubierto por el portafolio, pero es la asignatura con mayor visibilidad institucional hoy. Un simulador propio de adopción de IA en la organización sería fuertemente diferenciador y transversal a ambos programas. Business Transformation es la única familia CompanyGame con relación real con esta asignatura, y sólo en su dimensión de adopción tecnológica, no en el contenido técnico.</t>
  </si>
  <si>
    <t>PROGRAMACIÓN MOVIL</t>
  </si>
  <si>
    <t>Desarrollo de aplicaciones móviles</t>
  </si>
  <si>
    <t>Plataformas móviles, interfaces, servicios, publicación</t>
  </si>
  <si>
    <t>El desarrollo móvil se organiza por entregas iterativas, pero el contenido evaluado es técnico. No conviene forzar la venta.</t>
  </si>
  <si>
    <t>Teorías éticas, ética profesional, dilemas, ética en tecnología</t>
  </si>
  <si>
    <t>Baja - dilemas éticos en decisiones tecnológicas</t>
  </si>
  <si>
    <t>DP-07: simulador de dilemas éticos en tecnología, datos e IA</t>
  </si>
  <si>
    <t>Desarrollo propio (dilemas éticos en tecnología)</t>
  </si>
  <si>
    <t>Los simuladores del portafolio no modelan consecuencias éticas. Oportunidad de desarrollo propio transversal a ambos programas, especialmente en ética de datos e IA.</t>
  </si>
  <si>
    <t>Dirección de proyectos: alcance, tiempo, costo, riesgo y seguimiento</t>
  </si>
  <si>
    <t>Ciclo de vida del proyecto, EDT, cronograma, presupuesto, riesgos, control y cierre</t>
  </si>
  <si>
    <t>Muy alta - dirección de proyectos</t>
  </si>
  <si>
    <t>Es la asignatura de encaje más directo de todo el programa: el temario coincide punto por punto con las decisiones que exige SimProject. SimAgile complementa si el curso incluye enfoques ágiles o híbridos. Venta de argumentación mínima ante el docente. El catálogo CompanyGame no tiene un simulador específico de dirección de proyectos; SimProject sigue siendo la recomendación principal.</t>
  </si>
  <si>
    <t>Muy alta - integra gestión, proyecto y tecnología</t>
  </si>
  <si>
    <t>Businessglobal</t>
  </si>
  <si>
    <t>SimProject (principal) + SimAgile (complementario)</t>
  </si>
  <si>
    <t>Curso integrador de cierre donde el estudiante debe planear, ejecutar y controlar una solución. SimProject entrega el marco de gestión; SimAgile lo complementa si el proyecto es de software.</t>
  </si>
  <si>
    <t>Análisis del entorno competitivo, formulación e implementación de estrategia</t>
  </si>
  <si>
    <t>Diagnóstico estratégico, ventaja competitiva, direccionamiento, control estratégico</t>
  </si>
  <si>
    <t>Muy alta - dirección de empresas</t>
  </si>
  <si>
    <t>Mismo encaje que en Ing. Industrial: el estudiante formula una estrategia y la sostiene durante varios períodos frente a competidores. Además es la asignatura que da al ingeniero de sistemas la visión de negocio que el perfil profesional exige. Businessglobal y Business Strategy permiten ofrecer dos opciones de nivel y de precio en la misma conversación.</t>
  </si>
  <si>
    <t>SISTEMAS INTEGRADOS DE GESTIÓN</t>
  </si>
  <si>
    <t>ISO 9001, gestión por procesos, auditoría, mejora continua, integración con TI</t>
  </si>
  <si>
    <t>La implementación de un SGI es un proyecto (entrada parcial de SimProject). La oportunidad fuerte es un simulador propio compartido con la asignatura homóloga de Ing. Industrial, lo que duplica el retorno del desarrollo.</t>
  </si>
  <si>
    <t>Diagnóstico, intervención, informe de práctica</t>
  </si>
  <si>
    <t>El simulador no reemplaza la práctica; sirve como entrenamiento previo a la inmersión empresarial. Uso exploratorio de baja resistencia.</t>
  </si>
  <si>
    <t>Arquitectura empresarial y transformación digital</t>
  </si>
  <si>
    <t>Alineación entre la estrategia del negocio y la arquitectura de TI; gestión de la transformación</t>
  </si>
  <si>
    <t>Capacidades de negocio, marcos de arquitectura empresarial, gobierno de TI, hoja de ruta de transformación digital</t>
  </si>
  <si>
    <t>Muy alta - negocio, tecnología y transformación digital</t>
  </si>
  <si>
    <t>Global2030</t>
  </si>
  <si>
    <t>N6-7</t>
  </si>
  <si>
    <t>Cubierto por TRANSFORMA / Global2030; DP-02 sólo si se exige mayor especificidad</t>
  </si>
  <si>
    <t>SimAgile + SimVenture o TRANSFORMA / Global2030 (CompanyGame)</t>
  </si>
  <si>
    <t>Asignatura bisagra entre negocio y tecnología: SimVenture da al estudiante la comprensión del negocio que la arquitectura debe soportar y SimAgile la dinámica de transformación por iteraciones. Es la oportunidad más diferenciadora del programa y la mejor candidata a un desarrollo propio de transformación digital. TRANSFORMA y Global2030 son las alternativas CompanyGame de mayor nivel y las más alineadas con el objeto de esta asignatura.</t>
  </si>
  <si>
    <t>Priorización comercial de oportunidades</t>
  </si>
  <si>
    <t>Ranking de asignaturas con mayor potencial de implementación · Top 15 y bloque de siguiente nivel · incluye alternativa del catálogo CompanyGame</t>
  </si>
  <si>
    <t>Ranking</t>
  </si>
  <si>
    <t>Bloque</t>
  </si>
  <si>
    <t>¿Por qué es una oportunidad?</t>
  </si>
  <si>
    <t>Competencia académica que se fortalece</t>
  </si>
  <si>
    <t>Valor diferencial que aporta el simulador</t>
  </si>
  <si>
    <t>Argumento para la conversación comercial</t>
  </si>
  <si>
    <t>Top 15</t>
  </si>
  <si>
    <t>Acelera; ESGProject (gestión de un proyecto acotado)</t>
  </si>
  <si>
    <t>El temario de dirección de proyectos coincide punto por punto con las decisiones que exige el simulador: alcance, cronograma, recursos, costos, riesgos y control.</t>
  </si>
  <si>
    <t>Dirección y control de proyectos de ingeniería</t>
  </si>
  <si>
    <t>Sustituye el ejercicio de cronograma en papel por la ejecución de un proyecto con desviaciones reales, replanificación y consecuencias medibles.</t>
  </si>
  <si>
    <t>No requiere modificar el programa: el simulador se convierte en el taller práctico del curso. Es la conversación más corta de todo el portafolio.</t>
  </si>
  <si>
    <t>Businessglobal (Nivel 5) o Business Strategy (Niveles 6 y 7)</t>
  </si>
  <si>
    <t>Asignatura de estrategia con 3 créditos donde el estudiante debe formular y sostener una estrategia en el tiempo, algo que un caso escrito no permite evaluar.</t>
  </si>
  <si>
    <t>Formulación e implementación de estrategia competitiva</t>
  </si>
  <si>
    <t>La estrategia se evalúa por resultados sostenidos frente a competidores y no por la calidad de una presentación.</t>
  </si>
  <si>
    <t>El argumento es directo: hoy la estrategia se evalúa por documento; con el simulador se evalúa por desempeño. Fácil de defender ante el director de programa.</t>
  </si>
  <si>
    <t>FitnessGym, Luxe Atelier (Niveles 3 y 4); Business Chef (Nivel 5); ESGProject</t>
  </si>
  <si>
    <t>Única asignatura del programa con encaje alto simultáneo en dos simuladores: formulación del negocio y gestión del proyecto.</t>
  </si>
  <si>
    <t>Formulación, evaluación y gestión de proyectos</t>
  </si>
  <si>
    <t>Cubre el ciclo completo: viabilidad de mercado y financiera con SimVenture, y planeación y control de la ejecución con SimProject.</t>
  </si>
  <si>
    <t>Permite proponer un paquete de dos productos en un solo curso, con justificación académica en dos mitades claramente diferenciadas del programa.</t>
  </si>
  <si>
    <t>Organization &amp; People Management; InnovaTech</t>
  </si>
  <si>
    <t>Es el curso de gestión de la línea de software: planeación, estimación, métricas, riesgos y gestión de equipos.</t>
  </si>
  <si>
    <t>Gestión de proyectos y equipos de desarrollo de software</t>
  </si>
  <si>
    <t>El estudiante experimenta la tensión entre alcance, calidad y tiempo dentro de un equipo, en lugar de estudiarla en teoría.</t>
  </si>
  <si>
    <t>Doble encaje en un mismo curso; el docente de esta asignatura suele ser también el de Gestión de Proyectos, lo que concentra la decisión en un solo interlocutor.</t>
  </si>
  <si>
    <t>Kapital (Nivel 5); Bankgame; BANKCOMPANY (Niveles 6 y 7)</t>
  </si>
  <si>
    <t>Asignatura de decisión financiera donde el simulador genera los estados financieros a partir de las decisiones del propio estudiante.</t>
  </si>
  <si>
    <t>Diagnóstico financiero y decisiones de inversión y financiación</t>
  </si>
  <si>
    <t>El análisis financiero deja de hacerse sobre datos ajenos y pasa a hacerse sobre las consecuencias de decisiones propias.</t>
  </si>
  <si>
    <t>Argumento pedagógico muy claro; además es una asignatura con alto índice de reprobación en programas de ingeniería, lo que abre la conversación por el lado de la retención.</t>
  </si>
  <si>
    <t>Semestre V (Ind.) / IV (Sist.)</t>
  </si>
  <si>
    <t>ESGManagement (Nivel 5); ESGProject (Niveles 3 y 4); GlobalManagement</t>
  </si>
  <si>
    <t>Asignatura obligatoria en los dos programas que hoy no tiene ninguna herramienta práctica asociada, y cuyo objeto completo está cubierto por la familia ESG Management del catálogo CompanyGame.</t>
  </si>
  <si>
    <t>Comprensión y gestión de la sostenibilidad aplicada a la organización</t>
  </si>
  <si>
    <t>Convierte una cátedra hoy discursiva en una experiencia de decisión donde el estudiante enfrenta el trade-off entre resultado económico e impacto ambiental y social.</t>
  </si>
  <si>
    <t>Es la mejor relación esfuerzo-resultado del catálogo: una sola conversación cubre dos programas, y la asignatura no compite con ningún recurso existente porque hoy no usa ninguno.</t>
  </si>
  <si>
    <t>Mismo encaje doble que en Ing. Industrial, en un programa donde el estudiante tiene menos formación previa en negocio.</t>
  </si>
  <si>
    <t>Formulación y evaluación de la viabilidad de proyectos</t>
  </si>
  <si>
    <t>Aporta al ingeniero de sistemas la dimensión de mercado y financiera que su formación técnica no cubre.</t>
  </si>
  <si>
    <t>Se puede presentar como la misma solución ya conversada con Ing. Industrial, lo que reduce el esfuerzo de venta a nivel de facultad.</t>
  </si>
  <si>
    <t>MarketGame; SalesManager; GlobalMARKET; FOCUS (Niveles 6 y 7)</t>
  </si>
  <si>
    <t>Asignatura comercial de 3 créditos donde precio, promoción y canal pueden competir en un mercado simulado.</t>
  </si>
  <si>
    <t>Diseño y ejecución de la estrategia comercial</t>
  </si>
  <si>
    <t>El resultado comercial se mide en ventas y participación de mercado frente a competidores reales del aula.</t>
  </si>
  <si>
    <t>Es la aplicación más reconocible de un simulador de negocios; casi no requiere explicación previa.</t>
  </si>
  <si>
    <t>Organization &amp; People Management (gestión del equipo de desarrollo)</t>
  </si>
  <si>
    <t>El curso combina diseño técnico con gestión del proceso de desarrollo y trabajo en equipo.</t>
  </si>
  <si>
    <t>Gestión del proceso de desarrollo y trabajo colaborativo</t>
  </si>
  <si>
    <t>Convierte las ceremonias ágiles en una experiencia con consecuencias, en lugar de un contenido memorizado.</t>
  </si>
  <si>
    <t>El docente de ingeniería de software suele estar familiarizado con marcos ágiles; la conversación parte de un lenguaje común.</t>
  </si>
  <si>
    <t>InnovaTech (Niveles 3 y 4); TechCompany / Food Company</t>
  </si>
  <si>
    <t>Desarrollo de nuevos productos con validación de viabilidad: encaje doble poco frecuente en un programa de industrial.</t>
  </si>
  <si>
    <t>Innovación y desarrollo de productos y servicios</t>
  </si>
  <si>
    <t>Une la iteración del desarrollo con la prueba comercial del producto, cerrando el ciclo idea-mercado dentro del aula.</t>
  </si>
  <si>
    <t>Permite introducir SimAgile en Ingeniería Industrial, un programa donde normalmente sólo se conversa sobre SimVenture.</t>
  </si>
  <si>
    <t>TRANSFORMA; Global2030 (Niveles 6 y 7); Acelera</t>
  </si>
  <si>
    <t>Asignatura bisagra entre negocio y tecnología, con contenido explícito de transformación digital.</t>
  </si>
  <si>
    <t>Alineación entre estrategia de negocio y arquitectura tecnológica</t>
  </si>
  <si>
    <t>Da al estudiante la comprensión del negocio que la arquitectura debe soportar, que es justamente lo que su formación técnica no entrega.</t>
  </si>
  <si>
    <t>Requiere explicar por qué un simulador de empresa aporta a una asignatura técnica; el argumento es fuerte pero necesita una demostración.</t>
  </si>
  <si>
    <t>InnovaTech; TRANSFORMA; Global2030 (Niveles 6 y 7); Acelera</t>
  </si>
  <si>
    <t>Contenido explícito de innovación y transformación digital en un programa de ingeniería industrial.</t>
  </si>
  <si>
    <t>Gestión de la innovación y de la incorporación tecnológica</t>
  </si>
  <si>
    <t>Traduce la gestión de la innovación en decisiones concretas de priorización y entrega, no en un marco teórico.</t>
  </si>
  <si>
    <t>Es la puerta natural de SimAgile en Ingeniería Industrial y complementa la conversación de SimVenture con el mismo director.</t>
  </si>
  <si>
    <t>Asignatura de estrategia en octavo semestre, cercana al perfil de egreso y a la práctica empresarial.</t>
  </si>
  <si>
    <t>Visión estratégica y de negocio del ingeniero de sistemas</t>
  </si>
  <si>
    <t>Cierra la formación con una experiencia de dirección de empresa, que es la brecha típica del egresado de sistemas.</t>
  </si>
  <si>
    <t>Mismo argumento ya validado en Ing. Industrial; permite escalar la venta dentro de la facultad con una sola demostración.</t>
  </si>
  <si>
    <t>Kapital (Nivel 5); Advisor Jr.</t>
  </si>
  <si>
    <t>Evaluación económica de alternativas de inversión, con decisiones que el simulador materializa en varios períodos.</t>
  </si>
  <si>
    <t>El VPN y la TIR dejan de ser cálculo de escritorio y pasan a ser el resultado de decisiones tomadas con recursos limitados.</t>
  </si>
  <si>
    <t>Requiere mostrar cómo el simulador reporta los flujos; con una demostración de 20 minutos la objeción desaparece.</t>
  </si>
  <si>
    <t>Ninguno del catálogo actual</t>
  </si>
  <si>
    <t>Primer curso donde se enseñan modelos de proceso y marcos ágiles: punto de entrada temprano en el plan de estudios.</t>
  </si>
  <si>
    <t>Comprensión del ciclo de vida y de los marcos ágiles</t>
  </si>
  <si>
    <t>El estudiante vive un ciclo completo de trabajo en equipo en tercer semestre, lo que anticipa competencias que hoy sólo se ven al final.</t>
  </si>
  <si>
    <t>Entrada temprana con alto volumen de estudiantes; buena relación entre esfuerzo comercial y número de licencias.</t>
  </si>
  <si>
    <t>Siguiente nivel</t>
  </si>
  <si>
    <t>Businessglobal; TRANSFORMA</t>
  </si>
  <si>
    <t>Curso integrador de cierre donde el estudiante debe planear, ejecutar y controlar un proyecto real.</t>
  </si>
  <si>
    <t>Integración de competencias en un proyecto de ingeniería</t>
  </si>
  <si>
    <t>Entrega un marco de gestión común a todos los proyectos del curso, lo que además facilita la evaluación del docente.</t>
  </si>
  <si>
    <t>El docente gana una herramienta de evaluación homogénea para proyectos heterogéneos; es un beneficio directo para él.</t>
  </si>
  <si>
    <t>Business21 (Niveles 3 y 4); Organization &amp; People Management</t>
  </si>
  <si>
    <t>Asignatura temprana de gestión empresarial donde el simulador puede ser eje del curso.</t>
  </si>
  <si>
    <t>Comprensión de la organización y toma de decisiones administrativas</t>
  </si>
  <si>
    <t>Permite dirigir una organización completa desde tercer semestre, anticipando competencias de gestión.</t>
  </si>
  <si>
    <t>Sólo 2 créditos, lo que limita la intensidad de uso; conviene proponerla junto con Gerencia Estratégica.</t>
  </si>
  <si>
    <t>Business21 (Niveles 3 y 4); Businessglobal</t>
  </si>
  <si>
    <t>Es el curso donde el simulador de empresa tiene su justificación pedagógica más pura: interdependencia entre decisiones.</t>
  </si>
  <si>
    <t>Análisis sistémico de organizaciones y efectos de segundo orden</t>
  </si>
  <si>
    <t>Demuestra en la práctica que una decisión local altera el resultado global, que es exactamente lo que el curso quiere enseñar.</t>
  </si>
  <si>
    <t>Argumento conceptual muy fuerte, aunque la asignatura tiene sólo 2 créditos y está en segundo semestre.</t>
  </si>
  <si>
    <t>Semestre I</t>
  </si>
  <si>
    <t>T-Shirt / Sunny Day (CompanyGame, Niveles 1 a 2)</t>
  </si>
  <si>
    <t>T-Shirt o Sunny Day (Niveles 1 a 2)</t>
  </si>
  <si>
    <t>Asignatura de primer semestre con alto volumen de estudiantes en los dos programas; los simuladores de nivel 1-2 del catálogo permiten una primera experiencia de decisión empresarial sin carga docente.</t>
  </si>
  <si>
    <t>Comprensión del campo de acción del ingeniero y primera aproximación a la decisión empresarial</t>
  </si>
  <si>
    <t>Entrada de bajo costo y alto volumen que familiariza al estudiante con la metodología desde primer semestre y prepara el terreno para los simuladores de nivel superior en el ciclo profesional.</t>
  </si>
  <si>
    <t>Requiere explicar el valor de un simulador en una asignatura introductoria, pero el argumento de volumen y de continuidad a lo largo del plan de estudios es fuerte ante el director de programa.</t>
  </si>
  <si>
    <t>ContaTrainer; Kapital (Nivel 5)</t>
  </si>
  <si>
    <t>Cada decisión del simulador modifica la estructura de costos y el punto de equilibrio.</t>
  </si>
  <si>
    <t>Costeo y decisiones basadas en márgenes</t>
  </si>
  <si>
    <t>El costeo se vuelve consecuencia visible de la decisión y no un ejercicio de hoja de cálculo.</t>
  </si>
  <si>
    <t>Se vende mejor como paquete con Finanzas y Contabilidad que como caso aislado.</t>
  </si>
  <si>
    <t>SimProject + SimAgile</t>
  </si>
  <si>
    <t>Curso integrador de cierre con proyectos de software susceptibles de gestión ágil o predictiva.</t>
  </si>
  <si>
    <t>Integración de competencias en un proyecto real</t>
  </si>
  <si>
    <t>Marco de gestión homogéneo para proyectos heterogéneos, útil para la evaluación docente.</t>
  </si>
  <si>
    <t>Mismo argumento que en Ing. Industrial; se puede cerrar en la misma conversación de facultad.</t>
  </si>
  <si>
    <t>La unidad de PERT/CPM del curso coincide exactamente con el motor de SimProject.</t>
  </si>
  <si>
    <t>Modelado de redes de proyecto y ruta crítica</t>
  </si>
  <si>
    <t>La red de actividades deja de ser un ejercicio de papel y pasa a tener replanificación y consecuencias.</t>
  </si>
  <si>
    <t>El encaje es parcial (una unidad del curso), por lo que conviene proponer uso complementario y no licencia semestral completa.</t>
  </si>
  <si>
    <t>ContaTrainer (Niveles 1 a 2); Business21 (Niveles 3 y 4)</t>
  </si>
  <si>
    <t>El simulador genera estados financieros y presupuestos como resultado de las decisiones del estudiante.</t>
  </si>
  <si>
    <t>Interpretación de estados financieros y control presupuestal</t>
  </si>
  <si>
    <t>Reemplaza los casos estáticos por información contable derivada de decisiones propias.</t>
  </si>
  <si>
    <t>Asignatura de 2 créditos en segundo semestre; conviene incluirla dentro de un acuerdo de programa y no venderla sola.</t>
  </si>
  <si>
    <t>Criterio de ordenamiento: nivel de encaje con el temario (Alta &gt; Media), existencia de producto listo para usar, facilidad de justificación académica ante el docente o director, número de créditos y volumen de estudiantes, y cercanía al perfil de egreso.</t>
  </si>
  <si>
    <t>Oportunidades de desarrollo propio de simuladores</t>
  </si>
  <si>
    <t>Asignaturas sin cobertura de SimVenture, SimAgile, SimProject ni del catálogo CompanyGame, priorizadas por transversalidad</t>
  </si>
  <si>
    <t>Programa(s)</t>
  </si>
  <si>
    <t>Asignaturas destino</t>
  </si>
  <si>
    <t>Problema o necesidad académica que resuelve</t>
  </si>
  <si>
    <t>Temática que debería simular</t>
  </si>
  <si>
    <t>Decisiones que debería permitir tomar al estudiante</t>
  </si>
  <si>
    <t>Competencias que permitiría desarrollar</t>
  </si>
  <si>
    <t>Por qué conviene un desarrollo propio y no un simulador del portafolio actual</t>
  </si>
  <si>
    <t>PLANEACIÓN Y CONTROL DE LA PRODUCCIÓN Y OPERACIONES (VI); INVESTIGACIÓN OPERATIVA I (V); INVESTIGACIÓN OPERATIVA II (VI); INGENIERÍA DE MÉTODOS (V); SIMULACIÓN DE PROCESOS (VIII); DISEÑO DE INSTALACIONES INDUSTRIALES Y DE SERVICIOS (VIII)</t>
  </si>
  <si>
    <t>El núcleo profesional del programa (producción y operaciones) no tiene ningún simulador asociado; se enseña con ejercicios numéricos aislados que no muestran el efecto acumulado de las decisiones a lo largo del tiempo.</t>
  </si>
  <si>
    <t>Una planta de producción con demanda variable: pronóstico, plan maestro, explosión de materiales, capacidad, inventarios y programación de la producción.</t>
  </si>
  <si>
    <t>Nivel de producción por período; tamaño de lote; contratación y turnos; nivel de inventario de seguridad; subcontratación; prioridad de órdenes; inversión en capacidad.</t>
  </si>
  <si>
    <t>Planeación agregada; programación de la producción; gestión de inventarios; análisis del trade-off costo-nivel de servicio; toma de decisiones bajo demanda incierta.</t>
  </si>
  <si>
    <t>SimVenture modela producción de forma agregada y simplificada, muy por debajo del nivel exigido por el curso. SimProject y SimAgile no aplican. Es el mayor vacío del portafolio frente a la malla de Ingeniería Industrial.</t>
  </si>
  <si>
    <t>ARQUITECTURA EMPRESARIAL (VIII, Sistemas); INTELIGENCIA ARTIFICIAL (VII, Sistemas); ARQUITECTURA DE INFORMACIÓN (VI, Sistemas); PENSAMIENTO SISTÉMICO (II, Sistemas); GESTIÓN DE TECNOLOGÍA (VI, Industrial); GERENCIA ESTRATÉGICA (IV Industrial / VIII Sistemas)</t>
  </si>
  <si>
    <t>La transformación digital se enseña como marco conceptual (capacidades, hojas de ruta, gobierno de TI) sin ninguna experiencia de decisión. Es además el tema con mayor visibilidad institucional actual.</t>
  </si>
  <si>
    <t>Una organización que debe modernizar sus capacidades: priorización de iniciativas, deuda técnica, adopción de IA, gestión del cambio y retorno de la inversión tecnológica.</t>
  </si>
  <si>
    <t>Qué capacidades intervenir primero; comprar vs. construir; nivel de inversión en infraestructura y datos; ritmo de adopción de IA; manejo de la resistencia al cambio; indicadores de éxito.</t>
  </si>
  <si>
    <t>Alineación negocio-tecnología; priorización de portafolio tecnológico; gestión del cambio; evaluación del retorno de la inversión en TI; gobierno de datos e IA.</t>
  </si>
  <si>
    <t>REVISADO CON EL CATÁLOGO COMPANYGAME: la familia Business Transformation (TRANSFORMA, Global2030, Acelera, InnovaTech) ya cubre buena parte de este terreno, por lo que un desarrollo propio deja de ser prioritario. La recomendación es ofrecer primero esos simuladores y explorar el desarrollo propio sólo si el programa exige un modelo específico de arquitectura empresarial, gobierno de datos y adopción de IA que esos productos no incluyan.</t>
  </si>
  <si>
    <t>SISTEMA INTEGRADO DE GESTIÓN (V, Industrial); SISTEMAS INTEGRADOS DE GESTIÓN (VIII, Sistemas); CONTROL ESTADÍSTICA DE LA CALIDAD (IV, Industrial); SEGURIDAD Y SALUD EN EL TRABAJO (VII, Industrial); SEGURIDAD DE LA INFORMACIÓN (VII, Sistemas)</t>
  </si>
  <si>
    <t>Los sistemas de gestión se enseñan leyendo la norma. El estudiante no experimenta el costo, la resistencia interna ni el resultado de una auditoría.</t>
  </si>
  <si>
    <t>Implementación de un sistema integrado de gestión en una organización: diagnóstico, documentación, capacitación, auditoría interna y certificación.</t>
  </si>
  <si>
    <t>Qué procesos documentar primero; presupuesto y equipo asignado; profundidad de la capacitación; tratamiento de no conformidades; momento de solicitar la certificación.</t>
  </si>
  <si>
    <t>Gestión por procesos; planeación de la implementación; auditoría interna; mejora continua; gestión de no conformidades y del riesgo.</t>
  </si>
  <si>
    <t>Ninguno de los tres simuladores modela normas de gestión ni procesos de auditoría, y del catálogo CompanyGame sólo ESGManagement toca de forma parcial la dimensión ambiental y social. SimProject aportaría cronograma y costo, dejando fuera el contenido normativo, que es el núcleo del curso.</t>
  </si>
  <si>
    <t>LOGÍSTICA Y CADENA DE SUMINISTRO (VIII); PLANEACIÓN Y CONTROL DE LA PRODUCCIÓN Y OPERACIONES (VI); INVESTIGACIÓN OPERATIVA II (VI); COSTOS DE OPERACIÓN (IV)</t>
  </si>
  <si>
    <t>La cadena de suministro exige comprender el efecto látigo y la coordinación entre eslabones, algo que no se puede enseñar con ejercicios individuales de inventario.</t>
  </si>
  <si>
    <t>Una cadena de varios eslabones con demanda variable, tiempos de entrega y costos de faltante y de mantenimiento de inventario.</t>
  </si>
  <si>
    <t>Cantidad y momento de pedido; selección de proveedores; nivel de servicio objetivo; modo de transporte; grado de información compartida entre eslabones.</t>
  </si>
  <si>
    <t>Gestión de inventarios; coordinación de la cadena; análisis del trade-off costo-servicio; negociación con proveedores; decisión bajo información incompleta.</t>
  </si>
  <si>
    <t>SimVenture y Businessglobal incluyen compras e inventarios de forma agregada dentro de una sola empresa; ninguno modela la cadena ni la interacción entre eslabones, que es el aprendizaje central del curso.</t>
  </si>
  <si>
    <t>SEGURIDAD DE LA INFORMACIÓN (VII); SISTEMAS INTEGRADOS DE GESTIÓN (VIII); REDES DE COMPUTADORES (VI)</t>
  </si>
  <si>
    <t>La seguridad se enseña desde el control y la norma, sin experiencia de decisión bajo presión de tiempo ante un incidente real.</t>
  </si>
  <si>
    <t>Una organización que sufre incidentes de seguridad: detección, contención, comunicación, recuperación y aprendizaje posterior.</t>
  </si>
  <si>
    <t>Nivel de inversión en controles preventivos vs. de detección; a quién y cuándo comunicar; aislar o mantener el servicio; pagar o no un rescate; prioridad de recuperación.</t>
  </si>
  <si>
    <t>Análisis y tratamiento del riesgo; respuesta a incidentes; continuidad del negocio; comunicación de crisis; evaluación costo-beneficio de controles.</t>
  </si>
  <si>
    <t>Ningún simulador del portafolio aborda seguridad. El tema tiene alta demanda institucional y prácticamente no hay oferta local en español, lo que lo hace muy defendible comercialmente.</t>
  </si>
  <si>
    <t>CONTROL ESTADÍSTICA DE LA CALIDAD (IV); MODELOS MATEMÁTICOS ESTOCÁSTICOS (VII); PROBABILIDAD Y ESTADÍSTICA DESCRIPTIVA (III)</t>
  </si>
  <si>
    <t>El control estadístico se enseña sobre series de datos ya dadas; el estudiante nunca decide cuándo intervenir un proceso ni asume el costo de equivocarse.</t>
  </si>
  <si>
    <t>Un proceso productivo con variabilidad natural y causas asignables: muestreo, cartas de control, capacidad y costo de la no calidad.</t>
  </si>
  <si>
    <t>Tamaño y frecuencia del muestreo; cuándo intervenir el proceso; ajuste de parámetros; nivel de inspección; inversión en mejora del proceso.</t>
  </si>
  <si>
    <t>Control estadístico de procesos; interpretación de cartas de control; análisis de capacidad; decisión bajo variabilidad; costeo de la calidad.</t>
  </si>
  <si>
    <t>Ningún simulador de gestión, ni del portafolio propio ni del catálogo CompanyGame, modela variabilidad de proceso. Es un desarrollo acotado y de complejidad media, apto como segundo desarrollo.</t>
  </si>
  <si>
    <t>ÉTICA (VII, ambos programas); CÁTEDRA DE SOSTENIBILIDAD (V Industrial / IV Sistemas); INTELIGENCIA ARTIFICIAL (VII, Sistemas)</t>
  </si>
  <si>
    <t>La ética y la sostenibilidad se enseñan de forma discursiva; no hay instrumento que muestre la consecuencia de una decisión cuestionable en el tiempo.</t>
  </si>
  <si>
    <t>Decisiones profesionales con tensión entre resultado económico, impacto ambiental y consecuencias éticas, incluida la ética en el uso de datos e IA.</t>
  </si>
  <si>
    <t>Aceptar o rechazar prácticas rentables pero cuestionables; nivel de transparencia; inversión en mitigación de impacto; uso de datos personales; reporte de un hallazgo incómodo.</t>
  </si>
  <si>
    <t>Razonamiento ético aplicado; análisis de impacto; responsabilidad profesional; comunicación de decisiones difíciles.</t>
  </si>
  <si>
    <t>REVISADO CON EL CATÁLOGO COMPANYGAME: la dimensión de sostenibilidad ya está cubierta por la familia ESG Management (ESGProject, ESGManagement, GlobalManagement), que debe ofrecerse primero. El desarrollo propio queda acotado al dilema ético profesional y a la ética de datos e IA, que ningún producto del portafolio aborda.</t>
  </si>
  <si>
    <t>SEGURIDAD Y SALUD EN EL TRABAJO (VII); SISTEMA INTEGRADO DE GESTIÓN (V)</t>
  </si>
  <si>
    <t>El SG-SST se enseña desde la normatividad; el estudiante no experimenta la gestión del riesgo laboral ni la investigación de un accidente.</t>
  </si>
  <si>
    <t>Una operación industrial con riesgos laborales: identificación, valoración, controles, capacitación y ocurrencia de incidentes.</t>
  </si>
  <si>
    <t>Priorización de controles; inversión en prevención; frecuencia de capacitación; respuesta e investigación ante un accidente; indicadores a reportar.</t>
  </si>
  <si>
    <t>Identificación y valoración de riesgos; jerarquía de controles; investigación de accidentes; cultura de seguridad.</t>
  </si>
  <si>
    <t>No cubierto por el portafolio; ESGManagement sólo roza la dimensión social. Dominio muy específico, alcance limitado a dos asignaturas de un programa, pero con demanda potencial fuera del ámbito universitario (formación empresarial).</t>
  </si>
  <si>
    <t>DISEÑO DE INSTALACIONES INDUSTRIALES Y DE SERVICIOS (VIII); PROCESOS INDUSTRIALES (IV); INGENIERÍA DE MÉTODOS (V)</t>
  </si>
  <si>
    <t>El diseño de planta se evalúa sobre planos estáticos; el estudiante no ve el desempeño de su distribución en operación.</t>
  </si>
  <si>
    <t>Distribución en planta y flujo de materiales: localización de estaciones, manejo de materiales, cuellos de botella y capacidad.</t>
  </si>
  <si>
    <t>Ubicación de estaciones y almacenes; recorrido del material; inversión en equipos de manejo; dimensionamiento de la capacidad.</t>
  </si>
  <si>
    <t>Distribución en planta; análisis de flujo; identificación de cuellos de botella; dimensionamiento de capacidad.</t>
  </si>
  <si>
    <t>No cubierto por el portafolio. Requiere componente visual y de simulación de flujo, por lo que su costo de desarrollo es alto frente a su transversalidad.</t>
  </si>
  <si>
    <t>QUÍMICA GENERAL Y LABORATORIO (I, Industrial); FÍSICA MECÁNICA Y LABORATORIO (I/II, ambos); ELECTRICIDAD Y MAGNETISMO Y LABORATORIO (III Industrial / II Sistemas); CIENCIA DE LOS MATERIALES EN LA INDUSTRIA (II, Industrial); ELECTRÓNICA DIGITAL (II, Sistemas)</t>
  </si>
  <si>
    <t>Las asignaturas con laboratorio dependen de infraestructura física, insumos y disponibilidad de espacio, con limitaciones de cupo y de repetición de la práctica.</t>
  </si>
  <si>
    <t>Prácticas experimentales de química, física, electricidad, materiales y electrónica digital.</t>
  </si>
  <si>
    <t>Montaje experimental; variación de parámetros; repetición de mediciones; interpretación de resultados.</t>
  </si>
  <si>
    <t>Competencia experimental; manejo de instrumentos; análisis de datos experimentales.</t>
  </si>
  <si>
    <t>Se registra por completitud del análisis: no es una oportunidad para SimVenture, SimAgile ni SimProject, sino para una línea de producto distinta. El interlocutor y el presupuesto son diferentes a los de simuladores de gestión.</t>
  </si>
  <si>
    <t>Criterio de priorización: número de asignaturas y programas a los que aplica el mismo desarrollo (transversalidad), ausencia de cobertura en SimVenture, SimAgile, SimProject y en las siete familias del catálogo CompanyGame, y facilidad de argumentación académica.</t>
  </si>
  <si>
    <t>Ruta de implementación y recomendaciones estratégicas</t>
  </si>
  <si>
    <t>Insumo para la conversación con directores de programa, decano y docentes de la Facultad de Ingeniería</t>
  </si>
  <si>
    <t>Conclusiones por programa – Ing. Industrial</t>
  </si>
  <si>
    <t>Es el simulador con mayor recorrido en el programa. Encaje alto en GERENCIA ESTRATÉGICA (IV), FINANZAS (VI), MERCADEO (VI), INGENIERÍA ECONÓMICA (V), COSTOS DE OPERACIÓN (IV), GESTIÓN ORGANIZACIONAL (III), CONTABILIDAD Y PRESUPUESTO (II), DISEÑO DE PRODUCTOS Y SERVICIOS (V) y FORMULACIÓN Y EVALUACIÓN DE PROYECTOS (VII). La línea de gestión empresarial del programa está distribuida entre los semestres II y VII, lo que permite proponer un uso continuo y no una compra puntual.</t>
  </si>
  <si>
    <t>Encaje más acotado pero claro en DISEÑO DE PRODUCTOS Y SERVICIOS (V), GESTIÓN DE TECNOLOGÍA (VI) y DISEÑO EN INGENIERÍA (III). El programa no tiene una línea de metodologías ágiles explícita, por lo que la venta debe apoyarse en el desarrollo de producto y en la innovación tecnológica, no en Scrum como marco.</t>
  </si>
  <si>
    <t>Encaje alto en FORMULACIÓN Y EVALUACIÓN DE PROYECTOS (VII), INGENIERÍA APLICADA (VIII) e INVESTIGACIÓN OPERATIVA II (VI, unidad de PERT/CPM). El programa no tiene una asignatura dedicada exclusivamente a dirección de proyectos, a diferencia de Ing. de Sistemas, por lo que SimProject entra como complemento de asignaturas integradoras.</t>
  </si>
  <si>
    <t>Desarrollos propios</t>
  </si>
  <si>
    <t>Aquí está la mayor oportunidad de expansión: toda la línea de producción y operaciones (PLANEACIÓN Y CONTROL DE LA PRODUCCIÓN, INGENIERÍA DE MÉTODOS, PROCESOS INDUSTRIALES, DISEÑO DE INSTALACIONES, LOGÍSTICA, INVESTIGACIÓN OPERATIVA I y II, SIMULACIÓN DE PROCESOS) carece de simulador. Son 8 asignaturas del componente profesional sin cobertura del portafolio actual.</t>
  </si>
  <si>
    <t>Catálogo CompanyGame</t>
  </si>
  <si>
    <t>Familias con encaje Alta: Negocios y estrategia (GERENCIA ESTRATÉGICA, GESTIÓN ORGANIZACIONAL), Finanzas y banca (CONTABILIDAD Y PRESUPUESTO con ContaTrainer, FINANZAS con Kapital), Marketing y ventas (MERCADEO), Business Transformation (GESTIÓN DE TECNOLOGÍA, DISEÑO DE PRODUCTOS Y SERVICIOS con InnovaTech) y ESG Management (CÁTEDRA DE SOSTENIBILIDAD). La familia Emprendimiento no tiene asignatura destino porque la malla no incluye creación de empresa, y la familia HORECA no aplica a este programa. El escalonamiento por niveles del catálogo (T-Shirt en I, Business21 en III-IV, Businessglobal en VI-VIII) permite proponer una ruta de varios años y no una venta puntual.</t>
  </si>
  <si>
    <t>Áreas curriculares con mayor potencial</t>
  </si>
  <si>
    <t>1) Gestión empresarial y financiera (semestres II a VII): la más madura para venta inmediata. 2) Proyectos e integración profesional (semestres VII y VIII). 3) Producción y operaciones (semestres IV a VIII): sin cobertura hoy, es el destino natural de un desarrollo propio. La asignatura SIMULACIÓN DE PROCESOS (VIII) merece atención especial: allí la simulación ya está aceptada metodológicamente, lo que la convierte en la mejor puerta de entrada académica al programa.</t>
  </si>
  <si>
    <t>Conclusiones por programa – Ing. de Sistemas</t>
  </si>
  <si>
    <t>Encaje alto en GERENCIA ESTRATÉGICA (VIII), PENSAMIENTO SISTÉMICO (II), ARQUITECTURA EMPRESARIAL (VIII) y FORMULACIÓN Y EVALUACIÓN DE PROYECTOS (VI). El programa tiene pocos espacios de gestión empresarial, pero son estratégicos: cubren precisamente la brecha de visión de negocio que se le reconoce al egresado de sistemas. Ese es el argumento de venta, no la cantidad de asignaturas.</t>
  </si>
  <si>
    <t>Es el simulador de mayor potencial en este programa. Encaje alto en INGENIERÍA DE SOFTWARE I (III), II (IV) y III (V), ARQUITECTURA EMPRESARIAL (VIII) e INGENIERÍA APLICADA (VIII). La línea de ingeniería de software atraviesa cuatro semestres consecutivos, lo que permite proponer un uso escalonado y creciente en lugar de una licencia puntual.</t>
  </si>
  <si>
    <t>GESTIÓN DE PROYECTOS DE INGENIERÍA (VII) es el encaje más directo de todo el análisis: el temario coincide con las decisiones del simulador. Se suma INGENIERÍA DEL SOFTWARE III (V), FORMULACIÓN Y EVALUACIÓN DE PROYECTOS (VI) e INGENIERÍA APLICADA (VIII). Es la conversación comercial que menos argumentación requiere.</t>
  </si>
  <si>
    <t>Las dos oportunidades más diferenciadoras son el simulador de transformación digital y arquitectura empresarial (ARQUITECTURA EMPRESARIAL, INTELIGENCIA ARTIFICIAL, ARQUITECTURA DE INFORMACIÓN) y el simulador de gestión de incidentes de seguridad de la información (SEGURIDAD DE LA INFORMACIÓN). Ambos temas tienen alta visibilidad institucional y poca o ninguna oferta comparable en español.</t>
  </si>
  <si>
    <t>Familias con encaje Alta: Negocios y estrategia (GERENCIA ESTRATÉGICA, PENSAMIENTO SISTÉMICO), Business Transformation (ARQUITECTURA EMPRESARIAL con TRANSFORMA y Global2030) y ESG Management (CÁTEDRA DE SOSTENIBILIDAD). Las familias Marketing y ventas, Finanzas y banca y HORECA no tienen asignatura destino en esta malla y no deben ofrecerse. El catálogo no incluye un simulador de dirección de proyectos, por lo que en GESTIÓN DE PROYECTOS DE INGENIERÍA la recomendación sigue siendo SimProject.</t>
  </si>
  <si>
    <t>1) Ingeniería de software y gestión de proyectos (semestres III a VII): la línea más fuerte y de venta más sencilla. 2) Negocio y estrategia (semestres II y VIII): pocos espacios pero de alto valor. 3) Seguridad, IA y arquitectura empresarial (semestres VII y VIII): sin cobertura hoy, destino de los desarrollos propios. El componente técnico de programación, bases de datos, redes y sistemas operativos no ofrece oportunidades y no debe forzarse.</t>
  </si>
  <si>
    <t>Lectura del catálogo CompanyGame frente a estas dos mallas</t>
  </si>
  <si>
    <t>Negocios y estrategia</t>
  </si>
  <si>
    <t>Gestión general de la empresa y estrategia competitiva. Es la familia con más recorrido en las dos mallas: Gerencia Estratégica, Gestión Organizacional, Pensamiento Sistémico y las asignaturas integradoras. El escalonamiento por niveles (T-Shirt → Business21 → Businessglobal → Business Strategy) permite proponer un uso progresivo desde primer semestre hasta el ciclo profesional.</t>
  </si>
  <si>
    <t>Marketing y ventas</t>
  </si>
  <si>
    <t>Aplica de forma clara en una sola asignatura de las dos mallas: MERCADEO (Ing. Industrial, VI). Aporte parcial en Fundamento(s) de Economía y en Diseño de Productos y Servicios. Ing. de Sistemas no tiene asignaturas de mercadeo.</t>
  </si>
  <si>
    <t>Finanzas y banca</t>
  </si>
  <si>
    <t>Aplica en la línea financiera de Ing. Industrial: Contabilidad y Presupuesto (ContaTrainer, nivel 1-2), Finanzas e Ingeniería Económica (Kapital), Costos de Operación. Los simuladores de banca (Bankgame, BANKCOMPANY) no tienen asignatura destino en estas dos mallas.</t>
  </si>
  <si>
    <t>Emprendimiento</t>
  </si>
  <si>
    <t>Hallazgo relevante: ninguna de las dos mallas tiene una asignatura de emprendimiento o creación de empresa. La familia aplica de forma indirecta en Formulación y Evaluación de Proyectos (ambos programas) y es la candidata natural para ocupar un espacio electivo u optativo.</t>
  </si>
  <si>
    <t>Business Transformation</t>
  </si>
  <si>
    <t>Segunda familia con mayor potencial. Encaja en Gestión de Tecnología (Ind., VI), Arquitectura Empresarial (Sist., VIII), Inteligencia Artificial, Arquitectura de Información, Pensamiento Sistémico y Diseño de Productos y Servicios. Es la familia que mejor conecta con la agenda de transformación digital de las facultades de ingeniería.</t>
  </si>
  <si>
    <t>HORECA</t>
  </si>
  <si>
    <t>No aplica a estas dos mallas. Ninguna asignatura de Ingeniería Industrial ni de Ingeniería de Sistemas trabaja el sector hotelero o de restauración. Se deja registrada en Baja de forma explícita: proponerla aquí restaría credibilidad. Su destino en esta universidad serían otros programas (Administración Turística y Hotelera, si existe).</t>
  </si>
  <si>
    <t>ESG Management</t>
  </si>
  <si>
    <t>Hallazgo relevante: CÁTEDRA DE SOSTENIBILIDAD existe en los dos programas (Ing. Industrial V, Ing. de Sistemas IV) y hoy no tiene ninguna herramienta práctica asociada. Es la oportunidad de mayor relación esfuerzo-resultado de todo el catálogo CompanyGame, porque es una asignatura obligatoria en ambos programas y el simulador cubre su objeto completo.</t>
  </si>
  <si>
    <t>Ruta de implementación por programa</t>
  </si>
  <si>
    <t>Asignatura o espacio curricular</t>
  </si>
  <si>
    <t>Acción sugerida</t>
  </si>
  <si>
    <t>Horizonte</t>
  </si>
  <si>
    <t>Prioridad 1 - Implementación inmediata</t>
  </si>
  <si>
    <t>Demostración al docente titular y piloto en un grupo durante un semestre.</t>
  </si>
  <si>
    <t>0-6 meses</t>
  </si>
  <si>
    <t>Extender el piloto de SimVenture a la línea financiera del programa.</t>
  </si>
  <si>
    <t>Incluir en el mismo acuerdo de licenciamiento de Gerencia Estratégica y Finanzas.</t>
  </si>
  <si>
    <t>Propuesta de paquete doble; es el mejor caso para introducir SimProject en el programa.</t>
  </si>
  <si>
    <t>Presentar como herramienta de evaluación homogénea de proyectos.</t>
  </si>
  <si>
    <t>Prioridad 2 - Potencial de implementación</t>
  </si>
  <si>
    <t>Taller demostrativo con el docente; es la puerta de entrada de SimAgile al programa.</t>
  </si>
  <si>
    <t>6-12 meses</t>
  </si>
  <si>
    <t>Vincular a la conversación de innovación y transformación digital de la facultad.</t>
  </si>
  <si>
    <t>Demostración centrada en los reportes financieros del simulador.</t>
  </si>
  <si>
    <t>Incluir dentro del acuerdo de programa, no como venta aislada (2 créditos).</t>
  </si>
  <si>
    <t>COSTOS DE OPERACIÓN / CONTABILIDAD Y PRESUPUESTO</t>
  </si>
  <si>
    <t>Ampliación del acuerdo hacia la línea de costos y contabilidad.</t>
  </si>
  <si>
    <t>Uso complementario limitado a la unidad de PERT/CPM.</t>
  </si>
  <si>
    <t>ELECTIVAS I-III y OPTATIVAS I-III</t>
  </si>
  <si>
    <t>Varios</t>
  </si>
  <si>
    <t>Según contenido</t>
  </si>
  <si>
    <t>Proponer el diseño de una electiva u optativa basada en simulador; no requiere rediseño curricular.</t>
  </si>
  <si>
    <t>Prioridad 3 - Oportunidades de desarrollo propio</t>
  </si>
  <si>
    <t>PLANEACIÓN Y CONTROL DE LA PRODUCCIÓN Y OPERACIONES + línea de operaciones</t>
  </si>
  <si>
    <t>DP-01 Operaciones</t>
  </si>
  <si>
    <t>Levantar requerimientos con los docentes de la línea de producción; es el mayor vacío del portafolio.</t>
  </si>
  <si>
    <t>12-24 meses</t>
  </si>
  <si>
    <t>DP-04 Cadena de suministro</t>
  </si>
  <si>
    <t>Explorar como segundo desarrollo, reutilizando el motor de DP-01.</t>
  </si>
  <si>
    <t>SISTEMA INTEGRADO DE GESTIÓN / CONTROL ESTADÍSTICA DE LA CALIDAD</t>
  </si>
  <si>
    <t>DP-03 SGI y DP-06 Calidad</t>
  </si>
  <si>
    <t>Desarrollo compartido con Ing. de Sistemas para duplicar el retorno.</t>
  </si>
  <si>
    <t>Es el encaje más directo de todo el análisis; iniciar aquí la conversación con el programa.</t>
  </si>
  <si>
    <t>Propuesta de paquete doble con el mismo docente de gestión de proyectos.</t>
  </si>
  <si>
    <t>Extender SimAgile hacia abajo en la línea de ingeniería de software.</t>
  </si>
  <si>
    <t>Reutilizar el argumento ya validado en Ing. Industrial.</t>
  </si>
  <si>
    <t>SimVenture o Businessglobal / Business Strategy</t>
  </si>
  <si>
    <t>Introducir la línea de estrategia en el programa; ofrecer dos niveles de precio.</t>
  </si>
  <si>
    <t>V / IV</t>
  </si>
  <si>
    <t>ESGManagement o ESGProject (CompanyGame)</t>
  </si>
  <si>
    <t>Presentar como propuesta de facultad: asignatura obligatoria en los dos programas y hoy sin ninguna herramienta asociada.</t>
  </si>
  <si>
    <t>I</t>
  </si>
  <si>
    <t>T-Shirt o Sunny Day (CompanyGame)</t>
  </si>
  <si>
    <t>Entrada temprana de bajo costo y alto volumen; prepara el terreno para simuladores de nivel superior.</t>
  </si>
  <si>
    <t>Entrada temprana con alto volumen de estudiantes.</t>
  </si>
  <si>
    <t>Requiere demostración; es la oportunidad más diferenciadora del programa.</t>
  </si>
  <si>
    <t>Cerrar junto con Ing. Industrial en la conversación de facultad.</t>
  </si>
  <si>
    <t>Argumento conceptual fuerte; incluir dentro del acuerdo de programa (2 créditos).</t>
  </si>
  <si>
    <t>FUNDAMENTOS DE ECONOMÍA / PRÁCTICA EMPRESARIAL</t>
  </si>
  <si>
    <t>5 y 8</t>
  </si>
  <si>
    <t>Uso complementario y de preparación previa a la práctica.</t>
  </si>
  <si>
    <t>Proponer una electiva u optativa basada en simulador; vía más rápida de inserción.</t>
  </si>
  <si>
    <t>ARQUITECTURA EMPRESARIAL + INTELIGENCIA ARTIFICIAL</t>
  </si>
  <si>
    <t>TRANSFORMA / Global2030 (CompanyGame)</t>
  </si>
  <si>
    <t>Ofrecer primero la familia Business Transformation del catálogo; el desarrollo propio DP-02 sólo si el programa exige mayor especificidad.</t>
  </si>
  <si>
    <t>DP-05 Gestión de incidentes</t>
  </si>
  <si>
    <t>Tema de alta demanda sin oferta local relevante en español.</t>
  </si>
  <si>
    <t>DP-03 SGI</t>
  </si>
  <si>
    <t>Desarrollo compartido con Ing. Industrial.</t>
  </si>
  <si>
    <t>Recomendaciones para la conversación comercial</t>
  </si>
  <si>
    <t>•  Entrar por Ingeniería de Sistemas con SimProject en GESTIÓN DE PROYECTOS DE INGENIERÍA (VII): es el encaje más directo del análisis y la conversación que menos argumentación requiere. Una vez validado, el mismo docente suele tener a cargo INGENIERÍA DEL SOFTWARE III.</t>
  </si>
  <si>
    <t>•  Entrar por Ingeniería Industrial con SimVenture o Businessglobal en GERENCIA ESTRATÉGICA (IV) y extender a FINANZAS y MERCADEO (VI) dentro del mismo acuerdo. Vender la línea completa, no la asignatura suelta.</t>
  </si>
  <si>
    <t>•  Llevar la CÁTEDRA DE SOSTENIBILIDAD con ESGManagement como propuesta de facultad y no de programa: es obligatoria en Ingeniería Industrial e Ingeniería de Sistemas, hoy no usa ninguna herramienta y una sola conversación cubre los dos programas.</t>
  </si>
  <si>
    <t>•  Usar el escalonamiento por niveles del catálogo CompanyGame como argumento de continuidad: T-Shirt o Sunny Day en primer semestre, Business21 en el ciclo intermedio y Businessglobal o Business Strategy en el ciclo profesional. Convierte una venta puntual en una ruta de varios años.</t>
  </si>
  <si>
    <t>•  Usar FORMULACIÓN Y EVALUACIÓN DE PROYECTOS como caso de paquete doble: existe en los dos programas y admite SimVenture y SimProject con justificación académica distinta para cada uno, además de la familia Emprendimiento de CompanyGame.</t>
  </si>
  <si>
    <t>•  Proponer un piloto de un semestre en un solo grupo antes de negociar licenciamiento por programa. Reduce la resistencia del director y genera el testimonio docente que sostiene la venta siguiente.</t>
  </si>
  <si>
    <t>•  Aprovechar los 12 espacios electivos y optativos: diseñar una electiva basada en simulador es la vía de inserción más rápida porque no exige modificar el plan de estudios ni pasar por comité curricular. Es también la única entrada directa de la familia Emprendimiento.</t>
  </si>
  <si>
    <t>•  No ofrecer la familia HORECA a esta facultad y no forzar la oferta en ciencias básicas ni en las asignaturas técnicas de programación, redes y bases de datos. La credibilidad de la propuesta ante el decano depende de haber marcado esas asignaturas como no aplicables.</t>
  </si>
  <si>
    <t>•  Levantar los microcurrículos de las 15 asignaturas priorizadas antes de la reunión: las competencias de este análisis son inferencias basadas en el nombre y la ubicación de la asignatura, y el syllabus permitirá afinar el argumento con el lenguaje del propio programa.</t>
  </si>
  <si>
    <t>•  Presentar los desarrollos propios DP-01 (operaciones), DP-02 (transformación digital) y DP-03 (sistemas de gestión) como coinversión o proyecto conjunto con la facultad, no como producto terminado: son oportunidades de mediano plazo que además diferencian frente a la competencia.</t>
  </si>
  <si>
    <t>Catálogo CompanyGame y su aplicación a las dos mallas</t>
  </si>
  <si>
    <t>41 simuladores en 7 familias, según el cuadro de portafolio entregado por el cliente</t>
  </si>
  <si>
    <t>Familia</t>
  </si>
  <si>
    <t>Nivel</t>
  </si>
  <si>
    <t>Aplicación en estas dos mallas</t>
  </si>
  <si>
    <t>T-Shirt</t>
  </si>
  <si>
    <t>Niveles 1 a 2</t>
  </si>
  <si>
    <t>Sunny Day</t>
  </si>
  <si>
    <t>Energy&amp;Co</t>
  </si>
  <si>
    <t>Niveles 3 y 4</t>
  </si>
  <si>
    <t>Nivel 5</t>
  </si>
  <si>
    <t>Niveles 6 y 7</t>
  </si>
  <si>
    <t>MarketGame</t>
  </si>
  <si>
    <t>SalesManager</t>
  </si>
  <si>
    <t>Food Company</t>
  </si>
  <si>
    <t>TechCompany</t>
  </si>
  <si>
    <t>GlobalMARKET</t>
  </si>
  <si>
    <t>FOCUS</t>
  </si>
  <si>
    <t>Advisor Jr.</t>
  </si>
  <si>
    <t>CORBATUL</t>
  </si>
  <si>
    <t>Bankgame</t>
  </si>
  <si>
    <t>BANKCOMPANY</t>
  </si>
  <si>
    <t>FitnessGym</t>
  </si>
  <si>
    <t>Luxe Atelier</t>
  </si>
  <si>
    <t>Business Chef</t>
  </si>
  <si>
    <t>FitnessGym Executive</t>
  </si>
  <si>
    <t>InterPyme</t>
  </si>
  <si>
    <t>Avocado Expand</t>
  </si>
  <si>
    <t>Acelera</t>
  </si>
  <si>
    <t>Niveles 3 y 4 / Nivel 5</t>
  </si>
  <si>
    <t>Organization &amp; People Management</t>
  </si>
  <si>
    <t>Global2020</t>
  </si>
  <si>
    <t>TRANSFORMA</t>
  </si>
  <si>
    <t>Hotel Virtual</t>
  </si>
  <si>
    <t>hotel game</t>
  </si>
  <si>
    <t>Casa Guadalupe</t>
  </si>
  <si>
    <t>Five Stars</t>
  </si>
  <si>
    <t>InnovaHotel</t>
  </si>
  <si>
    <t>Hotel Manager</t>
  </si>
  <si>
    <t>HotelCompany</t>
  </si>
  <si>
    <t>ESGProject</t>
  </si>
  <si>
    <t>GlobalManagement</t>
  </si>
  <si>
    <t>Los niveles corresponden a las columnas del cuadro de portafolio (Niveles 1 a 2 / Niveles 3 y 4 / Nivel 5 / Niveles 6 y 7). En dos casos la ubicación del simulador en el cuadro queda entre dos columnas y se registra como tal. SimVenture, SimAgile y SimProject se analizan en columnas propias de las matrices por tratarse de productos distintos a este catálogo.</t>
  </si>
  <si>
    <t xml:space="preserve">Simulador de Cadena de Suministro - Simulador GlobalChain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</si>
</sst>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FFFFFF"/>
      <name val="Arial"/>
      <family val="2"/>
      <charset val="1"/>
    </font>
    <font>
      <sz val="10"/>
      <color rgb="FFFFFFFF"/>
      <name val="Arial"/>
      <family val="2"/>
      <charset val="1"/>
    </font>
    <font>
      <b/>
      <sz val="12"/>
      <color rgb="FF1F4E3D"/>
      <name val="Arial"/>
      <family val="2"/>
      <charset val="1"/>
    </font>
    <font>
      <sz val="10"/>
      <name val="Arial"/>
      <family val="2"/>
      <charset val="1"/>
    </font>
    <font>
      <b/>
      <sz val="10"/>
      <color rgb="FFFFFFFF"/>
      <name val="Arial"/>
      <family val="2"/>
      <charset val="1"/>
    </font>
    <font>
      <b/>
      <sz val="10"/>
      <name val="Arial"/>
      <family val="2"/>
      <charset val="1"/>
    </font>
    <font>
      <b/>
      <sz val="10"/>
      <color rgb="FF1F3864"/>
      <name val="Arial"/>
      <family val="2"/>
      <charset val="1"/>
    </font>
    <font>
      <b/>
      <sz val="10"/>
      <color rgb="FF006100"/>
      <name val="Arial"/>
      <family val="2"/>
      <charset val="1"/>
    </font>
    <font>
      <b/>
      <sz val="10"/>
      <color rgb="FF9C5700"/>
      <name val="Arial"/>
      <family val="2"/>
      <charset val="1"/>
    </font>
    <font>
      <sz val="10"/>
      <color rgb="FF9C0006"/>
      <name val="Arial"/>
      <family val="2"/>
      <charset val="1"/>
    </font>
    <font>
      <i/>
      <sz val="10"/>
      <color rgb="FF2F5597"/>
      <name val="Arial"/>
      <family val="2"/>
      <charset val="1"/>
    </font>
    <font>
      <i/>
      <sz val="9"/>
      <color rgb="FF595959"/>
      <name val="Arial"/>
      <family val="2"/>
      <charset val="1"/>
    </font>
    <font>
      <sz val="10"/>
      <color rgb="FF808080"/>
      <name val="Arial"/>
      <family val="2"/>
      <charset val="1"/>
    </font>
  </fonts>
  <fills count="13">
    <fill>
      <patternFill patternType="none"/>
    </fill>
    <fill>
      <patternFill patternType="gray125"/>
    </fill>
    <fill>
      <patternFill patternType="solid">
        <fgColor rgb="FF1F4E3D"/>
        <bgColor rgb="FF1F3864"/>
      </patternFill>
    </fill>
    <fill>
      <patternFill patternType="solid">
        <fgColor rgb="FFD9E5DE"/>
        <bgColor rgb="FFDDEBF7"/>
      </patternFill>
    </fill>
    <fill>
      <patternFill patternType="solid">
        <fgColor rgb="FFC6EFCE"/>
        <bgColor rgb="FFD9E5DE"/>
      </patternFill>
    </fill>
    <fill>
      <patternFill patternType="solid">
        <fgColor rgb="FFFFEB9C"/>
        <bgColor rgb="FFE8F1EC"/>
      </patternFill>
    </fill>
    <fill>
      <patternFill patternType="solid">
        <fgColor rgb="FFFFC7CE"/>
        <bgColor rgb="FFD9E5DE"/>
      </patternFill>
    </fill>
    <fill>
      <patternFill patternType="solid">
        <fgColor rgb="FFDDEBF7"/>
        <bgColor rgb="FFE8F1EC"/>
      </patternFill>
    </fill>
    <fill>
      <patternFill patternType="solid">
        <fgColor rgb="FF1F3864"/>
        <bgColor rgb="FF1F4E3D"/>
      </patternFill>
    </fill>
    <fill>
      <patternFill patternType="solid">
        <fgColor rgb="FFE8F1EC"/>
        <bgColor rgb="FFF2F2F2"/>
      </patternFill>
    </fill>
    <fill>
      <patternFill patternType="solid">
        <fgColor rgb="FFF2F2F2"/>
        <bgColor rgb="FFE8F1EC"/>
      </patternFill>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4" fillId="0" borderId="1" xfId="0" applyFont="1" applyBorder="1" applyAlignment="1">
      <alignment horizontal="left" vertical="top" wrapText="1"/>
    </xf>
    <xf numFmtId="0" fontId="6" fillId="0" borderId="1" xfId="0" applyFont="1" applyBorder="1" applyAlignment="1">
      <alignment horizontal="left" vertical="center" wrapText="1"/>
    </xf>
    <xf numFmtId="0" fontId="4" fillId="0" borderId="0" xfId="0" applyFont="1" applyAlignment="1">
      <alignment vertical="top" wrapText="1"/>
    </xf>
    <xf numFmtId="0" fontId="7" fillId="0" borderId="0" xfId="0" applyFont="1"/>
    <xf numFmtId="0" fontId="4" fillId="0" borderId="0" xfId="0" applyFont="1" applyAlignment="1">
      <alignment vertical="top" wrapText="1" indent="1"/>
    </xf>
    <xf numFmtId="0" fontId="3" fillId="3" borderId="0" xfId="0" applyFont="1" applyFill="1" applyAlignment="1">
      <alignment horizontal="left" vertical="center" indent="1"/>
    </xf>
    <xf numFmtId="0" fontId="12" fillId="0" borderId="0" xfId="0" applyFont="1"/>
    <xf numFmtId="0" fontId="2" fillId="2" borderId="0" xfId="0" applyFont="1" applyFill="1" applyAlignment="1">
      <alignment horizontal="left" vertical="center" indent="1"/>
    </xf>
    <xf numFmtId="0" fontId="1" fillId="2" borderId="0" xfId="0" applyFont="1" applyFill="1" applyAlignment="1">
      <alignment horizontal="left" vertical="center" indent="1"/>
    </xf>
    <xf numFmtId="0" fontId="5"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0" fontId="6" fillId="0" borderId="1" xfId="0" applyFont="1" applyBorder="1" applyAlignment="1">
      <alignment horizontal="center"/>
    </xf>
    <xf numFmtId="0" fontId="6" fillId="0" borderId="1" xfId="0" applyFont="1" applyBorder="1"/>
    <xf numFmtId="0" fontId="8" fillId="4" borderId="1" xfId="0" applyFont="1" applyFill="1" applyBorder="1"/>
    <xf numFmtId="0" fontId="9" fillId="5" borderId="1" xfId="0" applyFont="1" applyFill="1" applyBorder="1"/>
    <xf numFmtId="0" fontId="10" fillId="6" borderId="1" xfId="0" applyFont="1" applyFill="1" applyBorder="1"/>
    <xf numFmtId="0" fontId="11" fillId="7" borderId="1" xfId="0" applyFont="1"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6" fillId="0" borderId="0" xfId="0" applyFont="1"/>
    <xf numFmtId="0" fontId="5" fillId="8" borderId="1" xfId="0" applyFont="1" applyFill="1" applyBorder="1" applyAlignment="1">
      <alignment horizontal="center" vertical="center" wrapText="1"/>
    </xf>
    <xf numFmtId="0" fontId="4" fillId="9" borderId="1" xfId="0" applyFont="1" applyFill="1" applyBorder="1" applyAlignment="1">
      <alignment vertical="top" wrapText="1"/>
    </xf>
    <xf numFmtId="0" fontId="4" fillId="9" borderId="1" xfId="0" applyFont="1" applyFill="1" applyBorder="1" applyAlignment="1">
      <alignment horizontal="center" vertical="center"/>
    </xf>
    <xf numFmtId="0" fontId="13" fillId="10"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xf>
    <xf numFmtId="0" fontId="10" fillId="6"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13" fillId="0" borderId="1" xfId="0" applyFont="1" applyBorder="1" applyAlignment="1">
      <alignment horizontal="center" vertical="center"/>
    </xf>
    <xf numFmtId="0" fontId="13" fillId="9"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9"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6"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6"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9" fillId="5"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6" fillId="0" borderId="0" xfId="0" applyFont="1" applyAlignment="1">
      <alignment vertical="top" wrapText="1" indent="1"/>
    </xf>
    <xf numFmtId="0" fontId="7" fillId="0" borderId="0" xfId="0" applyFont="1" applyAlignment="1">
      <alignment vertical="top" wrapText="1" indent="1"/>
    </xf>
    <xf numFmtId="0" fontId="8"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4" fillId="1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9E5DE"/>
      <rgbColor rgb="FF000080"/>
      <rgbColor rgb="FFFF00FF"/>
      <rgbColor rgb="FFFFFF00"/>
      <rgbColor rgb="FF00FFFF"/>
      <rgbColor rgb="FF800080"/>
      <rgbColor rgb="FF800000"/>
      <rgbColor rgb="FF008080"/>
      <rgbColor rgb="FF0000FF"/>
      <rgbColor rgb="FF00CCFF"/>
      <rgbColor rgb="FFE8F1EC"/>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597"/>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2"/>
  <sheetViews>
    <sheetView showGridLines="0" zoomScaleNormal="100" workbookViewId="0"/>
  </sheetViews>
  <sheetFormatPr baseColWidth="10" defaultColWidth="8.7109375" defaultRowHeight="15" x14ac:dyDescent="0.25"/>
  <cols>
    <col min="1" max="1" width="38" customWidth="1"/>
    <col min="2" max="5" width="15" customWidth="1"/>
    <col min="6" max="6" width="17" customWidth="1"/>
    <col min="7" max="8" width="30" customWidth="1"/>
  </cols>
  <sheetData>
    <row r="1" spans="1:8" ht="33.75" customHeight="1" x14ac:dyDescent="0.25">
      <c r="A1" s="9" t="s">
        <v>0</v>
      </c>
      <c r="B1" s="9"/>
      <c r="C1" s="9"/>
      <c r="D1" s="9"/>
      <c r="E1" s="9"/>
      <c r="F1" s="9"/>
      <c r="G1" s="9"/>
      <c r="H1" s="9"/>
    </row>
    <row r="2" spans="1:8" ht="18" customHeight="1" x14ac:dyDescent="0.25">
      <c r="A2" s="8" t="s">
        <v>1</v>
      </c>
      <c r="B2" s="8"/>
      <c r="C2" s="8"/>
      <c r="D2" s="8"/>
      <c r="E2" s="8"/>
      <c r="F2" s="8"/>
      <c r="G2" s="8"/>
      <c r="H2" s="8"/>
    </row>
    <row r="4" spans="1:8" ht="21.75" customHeight="1" x14ac:dyDescent="0.25">
      <c r="A4" s="6" t="s">
        <v>2</v>
      </c>
      <c r="B4" s="6"/>
      <c r="C4" s="6"/>
      <c r="D4" s="6"/>
      <c r="E4" s="6"/>
      <c r="F4" s="6"/>
      <c r="G4" s="6"/>
      <c r="H4" s="6"/>
    </row>
    <row r="5" spans="1:8" ht="25.5" customHeight="1" x14ac:dyDescent="0.25">
      <c r="A5" s="5" t="s">
        <v>3</v>
      </c>
      <c r="B5" s="5"/>
      <c r="C5" s="5"/>
      <c r="D5" s="5"/>
      <c r="E5" s="5"/>
      <c r="F5" s="5"/>
      <c r="G5" s="5"/>
      <c r="H5" s="5"/>
    </row>
    <row r="6" spans="1:8" ht="25.5" customHeight="1" x14ac:dyDescent="0.25">
      <c r="A6" s="5" t="s">
        <v>4</v>
      </c>
      <c r="B6" s="5"/>
      <c r="C6" s="5"/>
      <c r="D6" s="5"/>
      <c r="E6" s="5"/>
      <c r="F6" s="5"/>
      <c r="G6" s="5"/>
      <c r="H6" s="5"/>
    </row>
    <row r="8" spans="1:8" ht="21.75" customHeight="1" x14ac:dyDescent="0.25">
      <c r="A8" s="6" t="s">
        <v>5</v>
      </c>
      <c r="B8" s="6"/>
      <c r="C8" s="6"/>
      <c r="D8" s="6"/>
      <c r="E8" s="6"/>
      <c r="F8" s="6"/>
      <c r="G8" s="6"/>
      <c r="H8" s="6"/>
    </row>
    <row r="9" spans="1:8" ht="18" customHeight="1" x14ac:dyDescent="0.25">
      <c r="A9" s="10" t="s">
        <v>6</v>
      </c>
      <c r="B9" s="10" t="s">
        <v>7</v>
      </c>
      <c r="C9" s="10" t="s">
        <v>8</v>
      </c>
      <c r="D9" s="10" t="s">
        <v>9</v>
      </c>
    </row>
    <row r="10" spans="1:8" x14ac:dyDescent="0.25">
      <c r="A10" s="11" t="s">
        <v>10</v>
      </c>
      <c r="B10" s="12">
        <f>COUNTA('Ing. Industrial'!C5:C57)</f>
        <v>53</v>
      </c>
      <c r="C10" s="12">
        <f>COUNTA('Ing. de Sistemas'!C5:C57)</f>
        <v>53</v>
      </c>
      <c r="D10" s="13">
        <f>B10+C10</f>
        <v>106</v>
      </c>
    </row>
    <row r="11" spans="1:8" x14ac:dyDescent="0.25">
      <c r="A11" s="11" t="s">
        <v>11</v>
      </c>
      <c r="B11" s="12">
        <f>SUM('Ing. Industrial'!D5:D57)</f>
        <v>144</v>
      </c>
      <c r="C11" s="12">
        <f>SUM('Ing. de Sistemas'!D5:D57)</f>
        <v>144</v>
      </c>
      <c r="D11" s="13">
        <f>B11+C11</f>
        <v>288</v>
      </c>
    </row>
    <row r="12" spans="1:8" x14ac:dyDescent="0.25">
      <c r="A12" s="11" t="s">
        <v>12</v>
      </c>
      <c r="B12" s="12">
        <f>COUNTIF('Ing. Industrial'!E5:E57,"Profesional")</f>
        <v>25</v>
      </c>
      <c r="C12" s="12">
        <f>COUNTIF('Ing. de Sistemas'!E5:E57,"Profesional")</f>
        <v>27</v>
      </c>
      <c r="D12" s="13">
        <f>B12+C12</f>
        <v>52</v>
      </c>
    </row>
    <row r="13" spans="1:8" x14ac:dyDescent="0.25">
      <c r="A13" s="11" t="s">
        <v>13</v>
      </c>
      <c r="B13" s="12">
        <f>COUNTIF('Ing. Industrial'!J5:J57,"No evaluable")</f>
        <v>6</v>
      </c>
      <c r="C13" s="12">
        <f>COUNTIF('Ing. de Sistemas'!J5:J57,"No evaluable")</f>
        <v>6</v>
      </c>
      <c r="D13" s="13">
        <f>B13+C13</f>
        <v>12</v>
      </c>
    </row>
    <row r="15" spans="1:8" ht="21.75" customHeight="1" x14ac:dyDescent="0.25">
      <c r="A15" s="6" t="s">
        <v>14</v>
      </c>
      <c r="B15" s="6"/>
      <c r="C15" s="6"/>
      <c r="D15" s="6"/>
      <c r="E15" s="6"/>
      <c r="F15" s="6"/>
      <c r="G15" s="6"/>
      <c r="H15" s="6"/>
    </row>
    <row r="16" spans="1:8" ht="31.5" customHeight="1" x14ac:dyDescent="0.25">
      <c r="A16" s="10" t="s">
        <v>15</v>
      </c>
      <c r="B16" s="10" t="s">
        <v>16</v>
      </c>
      <c r="C16" s="10" t="s">
        <v>17</v>
      </c>
      <c r="D16" s="10" t="s">
        <v>18</v>
      </c>
      <c r="E16" s="10" t="s">
        <v>19</v>
      </c>
      <c r="F16" s="10" t="s">
        <v>20</v>
      </c>
    </row>
    <row r="17" spans="1:8" x14ac:dyDescent="0.25">
      <c r="A17" s="14" t="s">
        <v>21</v>
      </c>
      <c r="B17" s="12">
        <f>COUNTIF('Ing. Industrial'!J5:J57,"Alta")</f>
        <v>1</v>
      </c>
      <c r="C17" s="12">
        <f>COUNTIF('Ing. de Sistemas'!J5:J57,"Alta")</f>
        <v>1</v>
      </c>
      <c r="D17" s="12">
        <f>COUNTIF('Ing. Industrial'!J5:J57,"Media")</f>
        <v>0</v>
      </c>
      <c r="E17" s="12">
        <f>COUNTIF('Ing. de Sistemas'!J5:J57,"Media")</f>
        <v>0</v>
      </c>
      <c r="F17" s="13">
        <f>SUM(B17:E17)</f>
        <v>2</v>
      </c>
    </row>
    <row r="18" spans="1:8" x14ac:dyDescent="0.25">
      <c r="A18" s="14" t="s">
        <v>22</v>
      </c>
      <c r="B18" s="12">
        <f>COUNTIF('Ing. Industrial'!K5:K57,"Alta")</f>
        <v>1</v>
      </c>
      <c r="C18" s="12">
        <f>COUNTIF('Ing. de Sistemas'!K5:K57,"Alta")</f>
        <v>1</v>
      </c>
      <c r="D18" s="12">
        <f>COUNTIF('Ing. Industrial'!K5:K57,"Media")</f>
        <v>0</v>
      </c>
      <c r="E18" s="12">
        <f>COUNTIF('Ing. de Sistemas'!K5:K57,"Media")</f>
        <v>0</v>
      </c>
      <c r="F18" s="13">
        <f>SUM(B18:E18)</f>
        <v>2</v>
      </c>
    </row>
    <row r="19" spans="1:8" x14ac:dyDescent="0.25">
      <c r="A19" s="14" t="s">
        <v>23</v>
      </c>
      <c r="B19" s="12">
        <f>COUNTIF('Ing. Industrial'!L5:L57,"Alta")</f>
        <v>1</v>
      </c>
      <c r="C19" s="12">
        <f>COUNTIF('Ing. de Sistemas'!L5:L57,"Alta")</f>
        <v>2</v>
      </c>
      <c r="D19" s="12">
        <f>COUNTIF('Ing. Industrial'!L5:L57,"Media")</f>
        <v>0</v>
      </c>
      <c r="E19" s="12">
        <f>COUNTIF('Ing. de Sistemas'!L5:L57,"Media")</f>
        <v>0</v>
      </c>
      <c r="F19" s="13">
        <f>SUM(B19:E19)</f>
        <v>3</v>
      </c>
    </row>
    <row r="20" spans="1:8" x14ac:dyDescent="0.25">
      <c r="A20" s="14" t="s">
        <v>24</v>
      </c>
      <c r="B20" s="12">
        <f>COUNTIF('Ing. Industrial'!P5:P57,"Alta")</f>
        <v>13</v>
      </c>
      <c r="C20" s="12">
        <f>COUNTIF('Ing. de Sistemas'!P5:P57,"Alta")</f>
        <v>6</v>
      </c>
      <c r="D20" s="12">
        <f>COUNTIF('Ing. Industrial'!P5:P57,"Media")</f>
        <v>18</v>
      </c>
      <c r="E20" s="12">
        <f>COUNTIF('Ing. de Sistemas'!P5:P57,"Media")</f>
        <v>16</v>
      </c>
      <c r="F20" s="13">
        <f>SUM(B20:E20)</f>
        <v>53</v>
      </c>
    </row>
    <row r="22" spans="1:8" x14ac:dyDescent="0.25">
      <c r="A22" s="4" t="s">
        <v>25</v>
      </c>
      <c r="B22" s="4"/>
      <c r="C22" s="4"/>
      <c r="D22" s="4"/>
      <c r="E22" s="4"/>
      <c r="F22" s="4"/>
      <c r="G22" s="4"/>
      <c r="H22" s="4"/>
    </row>
    <row r="23" spans="1:8" ht="18" customHeight="1" x14ac:dyDescent="0.25">
      <c r="A23" s="10" t="s">
        <v>26</v>
      </c>
      <c r="B23" s="10" t="s">
        <v>7</v>
      </c>
      <c r="C23" s="10" t="s">
        <v>8</v>
      </c>
      <c r="D23" s="10" t="s">
        <v>9</v>
      </c>
    </row>
    <row r="24" spans="1:8" x14ac:dyDescent="0.25">
      <c r="A24" s="15" t="s">
        <v>27</v>
      </c>
      <c r="B24" s="12">
        <f>COUNTIF('Ing. Industrial'!O5:O57,"Encaje perfecto")</f>
        <v>7</v>
      </c>
      <c r="C24" s="12">
        <f>COUNTIF('Ing. de Sistemas'!O5:O57,"Encaje perfecto")</f>
        <v>4</v>
      </c>
      <c r="D24" s="13">
        <f>B24+C24</f>
        <v>11</v>
      </c>
    </row>
    <row r="25" spans="1:8" x14ac:dyDescent="0.25">
      <c r="A25" s="16" t="s">
        <v>28</v>
      </c>
      <c r="B25" s="12">
        <f>COUNTIF('Ing. Industrial'!O5:O57,"Encaje parcial")</f>
        <v>3</v>
      </c>
      <c r="C25" s="12">
        <f>COUNTIF('Ing. de Sistemas'!O5:O57,"Encaje parcial")</f>
        <v>5</v>
      </c>
      <c r="D25" s="13">
        <f>B25+C25</f>
        <v>8</v>
      </c>
    </row>
    <row r="26" spans="1:8" x14ac:dyDescent="0.25">
      <c r="A26" s="17" t="s">
        <v>29</v>
      </c>
      <c r="B26" s="12">
        <f>COUNTIF('Ing. Industrial'!O5:O57,"No encaja")</f>
        <v>37</v>
      </c>
      <c r="C26" s="12">
        <f>COUNTIF('Ing. de Sistemas'!O5:O57,"No encaja")</f>
        <v>38</v>
      </c>
      <c r="D26" s="13">
        <f>B26+C26</f>
        <v>75</v>
      </c>
    </row>
    <row r="27" spans="1:8" x14ac:dyDescent="0.25">
      <c r="A27" s="18" t="s">
        <v>30</v>
      </c>
      <c r="B27" s="12">
        <f>COUNTIF('Ing. Industrial'!O5:O57,"Por definir")</f>
        <v>6</v>
      </c>
      <c r="C27" s="12">
        <f>COUNTIF('Ing. de Sistemas'!O5:O57,"Por definir")</f>
        <v>6</v>
      </c>
      <c r="D27" s="13">
        <f>B27+C27</f>
        <v>12</v>
      </c>
    </row>
    <row r="28" spans="1:8" x14ac:dyDescent="0.25">
      <c r="A28" s="7" t="s">
        <v>31</v>
      </c>
      <c r="B28" s="7"/>
      <c r="C28" s="7"/>
      <c r="D28" s="7"/>
      <c r="E28" s="7"/>
      <c r="F28" s="7"/>
      <c r="G28" s="7"/>
      <c r="H28" s="7"/>
    </row>
    <row r="30" spans="1:8" ht="21.75" customHeight="1" x14ac:dyDescent="0.25">
      <c r="A30" s="6" t="s">
        <v>32</v>
      </c>
      <c r="B30" s="6"/>
      <c r="C30" s="6"/>
      <c r="D30" s="6"/>
      <c r="E30" s="6"/>
      <c r="F30" s="6"/>
      <c r="G30" s="6"/>
      <c r="H30" s="6"/>
    </row>
    <row r="31" spans="1:8" ht="39" customHeight="1" x14ac:dyDescent="0.25">
      <c r="A31" s="5" t="s">
        <v>33</v>
      </c>
      <c r="B31" s="5"/>
      <c r="C31" s="5"/>
      <c r="D31" s="5"/>
      <c r="E31" s="5"/>
      <c r="F31" s="5"/>
      <c r="G31" s="5"/>
      <c r="H31" s="5"/>
    </row>
    <row r="32" spans="1:8" ht="25.5" customHeight="1" x14ac:dyDescent="0.25">
      <c r="A32" s="5" t="s">
        <v>34</v>
      </c>
      <c r="B32" s="5"/>
      <c r="C32" s="5"/>
      <c r="D32" s="5"/>
      <c r="E32" s="5"/>
      <c r="F32" s="5"/>
      <c r="G32" s="5"/>
      <c r="H32" s="5"/>
    </row>
    <row r="33" spans="1:8" ht="39" customHeight="1" x14ac:dyDescent="0.25">
      <c r="A33" s="5" t="s">
        <v>35</v>
      </c>
      <c r="B33" s="5"/>
      <c r="C33" s="5"/>
      <c r="D33" s="5"/>
      <c r="E33" s="5"/>
      <c r="F33" s="5"/>
      <c r="G33" s="5"/>
      <c r="H33" s="5"/>
    </row>
    <row r="34" spans="1:8" ht="25.5" customHeight="1" x14ac:dyDescent="0.25">
      <c r="A34" s="5" t="s">
        <v>36</v>
      </c>
      <c r="B34" s="5"/>
      <c r="C34" s="5"/>
      <c r="D34" s="5"/>
      <c r="E34" s="5"/>
      <c r="F34" s="5"/>
      <c r="G34" s="5"/>
      <c r="H34" s="5"/>
    </row>
    <row r="35" spans="1:8" ht="25.5" customHeight="1" x14ac:dyDescent="0.25">
      <c r="A35" s="5" t="s">
        <v>37</v>
      </c>
      <c r="B35" s="5"/>
      <c r="C35" s="5"/>
      <c r="D35" s="5"/>
      <c r="E35" s="5"/>
      <c r="F35" s="5"/>
      <c r="G35" s="5"/>
      <c r="H35" s="5"/>
    </row>
    <row r="36" spans="1:8" ht="25.5" customHeight="1" x14ac:dyDescent="0.25">
      <c r="A36" s="5" t="s">
        <v>38</v>
      </c>
      <c r="B36" s="5"/>
      <c r="C36" s="5"/>
      <c r="D36" s="5"/>
      <c r="E36" s="5"/>
      <c r="F36" s="5"/>
      <c r="G36" s="5"/>
      <c r="H36" s="5"/>
    </row>
    <row r="37" spans="1:8" ht="25.5" customHeight="1" x14ac:dyDescent="0.25">
      <c r="A37" s="5" t="s">
        <v>39</v>
      </c>
      <c r="B37" s="5"/>
      <c r="C37" s="5"/>
      <c r="D37" s="5"/>
      <c r="E37" s="5"/>
      <c r="F37" s="5"/>
      <c r="G37" s="5"/>
      <c r="H37" s="5"/>
    </row>
    <row r="38" spans="1:8" ht="25.5" customHeight="1" x14ac:dyDescent="0.25">
      <c r="A38" s="5" t="s">
        <v>40</v>
      </c>
      <c r="B38" s="5"/>
      <c r="C38" s="5"/>
      <c r="D38" s="5"/>
      <c r="E38" s="5"/>
      <c r="F38" s="5"/>
      <c r="G38" s="5"/>
      <c r="H38" s="5"/>
    </row>
    <row r="39" spans="1:8" ht="25.5" customHeight="1" x14ac:dyDescent="0.25">
      <c r="A39" s="5" t="s">
        <v>41</v>
      </c>
      <c r="B39" s="5"/>
      <c r="C39" s="5"/>
      <c r="D39" s="5"/>
      <c r="E39" s="5"/>
      <c r="F39" s="5"/>
      <c r="G39" s="5"/>
      <c r="H39" s="5"/>
    </row>
    <row r="40" spans="1:8" ht="25.5" customHeight="1" x14ac:dyDescent="0.25">
      <c r="A40" s="5" t="s">
        <v>42</v>
      </c>
      <c r="B40" s="5"/>
      <c r="C40" s="5"/>
      <c r="D40" s="5"/>
      <c r="E40" s="5"/>
      <c r="F40" s="5"/>
      <c r="G40" s="5"/>
      <c r="H40" s="5"/>
    </row>
    <row r="42" spans="1:8" ht="21.75" customHeight="1" x14ac:dyDescent="0.25">
      <c r="A42" s="6" t="s">
        <v>43</v>
      </c>
      <c r="B42" s="6"/>
      <c r="C42" s="6"/>
      <c r="D42" s="6"/>
      <c r="E42" s="6"/>
      <c r="F42" s="6"/>
      <c r="G42" s="6"/>
      <c r="H42" s="6"/>
    </row>
    <row r="43" spans="1:8" ht="30" customHeight="1" x14ac:dyDescent="0.25">
      <c r="A43" s="10" t="s">
        <v>44</v>
      </c>
      <c r="B43" s="10" t="s">
        <v>45</v>
      </c>
      <c r="C43" s="10" t="s">
        <v>46</v>
      </c>
      <c r="D43" s="10" t="s">
        <v>47</v>
      </c>
      <c r="E43" s="10" t="s">
        <v>48</v>
      </c>
      <c r="F43" s="10" t="s">
        <v>49</v>
      </c>
      <c r="G43" s="10" t="s">
        <v>50</v>
      </c>
    </row>
    <row r="44" spans="1:8" ht="38.25" customHeight="1" x14ac:dyDescent="0.25">
      <c r="A44" s="19">
        <v>1</v>
      </c>
      <c r="B44" s="20" t="s">
        <v>8</v>
      </c>
      <c r="C44" s="19" t="s">
        <v>51</v>
      </c>
      <c r="D44" s="20" t="s">
        <v>52</v>
      </c>
      <c r="E44" s="20" t="s">
        <v>23</v>
      </c>
      <c r="F44" s="21" t="s">
        <v>53</v>
      </c>
      <c r="G44" s="19" t="s">
        <v>53</v>
      </c>
    </row>
    <row r="45" spans="1:8" ht="25.5" customHeight="1" x14ac:dyDescent="0.25">
      <c r="A45" s="19">
        <v>2</v>
      </c>
      <c r="B45" s="20" t="s">
        <v>7</v>
      </c>
      <c r="C45" s="19" t="s">
        <v>54</v>
      </c>
      <c r="D45" s="20" t="s">
        <v>55</v>
      </c>
      <c r="E45" s="20" t="s">
        <v>21</v>
      </c>
      <c r="F45" s="21" t="s">
        <v>53</v>
      </c>
      <c r="G45" s="19" t="s">
        <v>53</v>
      </c>
    </row>
    <row r="46" spans="1:8" ht="51" customHeight="1" x14ac:dyDescent="0.25">
      <c r="A46" s="19">
        <v>3</v>
      </c>
      <c r="B46" s="20" t="s">
        <v>7</v>
      </c>
      <c r="C46" s="19" t="s">
        <v>51</v>
      </c>
      <c r="D46" s="20" t="s">
        <v>56</v>
      </c>
      <c r="E46" s="20" t="s">
        <v>57</v>
      </c>
      <c r="F46" s="21" t="s">
        <v>53</v>
      </c>
      <c r="G46" s="19" t="s">
        <v>53</v>
      </c>
    </row>
    <row r="47" spans="1:8" ht="38.25" customHeight="1" x14ac:dyDescent="0.25">
      <c r="A47" s="19">
        <v>4</v>
      </c>
      <c r="B47" s="20" t="s">
        <v>8</v>
      </c>
      <c r="C47" s="19" t="s">
        <v>58</v>
      </c>
      <c r="D47" s="20" t="s">
        <v>59</v>
      </c>
      <c r="E47" s="20" t="s">
        <v>60</v>
      </c>
      <c r="F47" s="21" t="s">
        <v>53</v>
      </c>
      <c r="G47" s="19" t="s">
        <v>53</v>
      </c>
    </row>
    <row r="48" spans="1:8" x14ac:dyDescent="0.25">
      <c r="A48" s="19">
        <v>5</v>
      </c>
      <c r="B48" s="20" t="s">
        <v>7</v>
      </c>
      <c r="C48" s="19" t="s">
        <v>61</v>
      </c>
      <c r="D48" s="20" t="s">
        <v>62</v>
      </c>
      <c r="E48" s="20" t="s">
        <v>21</v>
      </c>
      <c r="F48" s="21" t="s">
        <v>53</v>
      </c>
      <c r="G48" s="19" t="s">
        <v>53</v>
      </c>
    </row>
    <row r="49" spans="1:8" ht="38.25" customHeight="1" x14ac:dyDescent="0.25">
      <c r="A49" s="19">
        <v>6</v>
      </c>
      <c r="B49" s="20" t="s">
        <v>63</v>
      </c>
      <c r="C49" s="19" t="s">
        <v>64</v>
      </c>
      <c r="D49" s="20" t="s">
        <v>65</v>
      </c>
      <c r="E49" s="20" t="s">
        <v>66</v>
      </c>
      <c r="F49" s="21" t="s">
        <v>53</v>
      </c>
      <c r="G49" s="19" t="s">
        <v>53</v>
      </c>
    </row>
    <row r="50" spans="1:8" ht="51" customHeight="1" x14ac:dyDescent="0.25">
      <c r="A50" s="19">
        <v>7</v>
      </c>
      <c r="B50" s="20" t="s">
        <v>8</v>
      </c>
      <c r="C50" s="19" t="s">
        <v>61</v>
      </c>
      <c r="D50" s="20" t="s">
        <v>56</v>
      </c>
      <c r="E50" s="20" t="s">
        <v>67</v>
      </c>
      <c r="F50" s="21" t="s">
        <v>53</v>
      </c>
      <c r="G50" s="19" t="s">
        <v>53</v>
      </c>
    </row>
    <row r="51" spans="1:8" x14ac:dyDescent="0.25">
      <c r="A51" s="19">
        <v>8</v>
      </c>
      <c r="B51" s="20" t="s">
        <v>7</v>
      </c>
      <c r="C51" s="19" t="s">
        <v>61</v>
      </c>
      <c r="D51" s="20" t="s">
        <v>68</v>
      </c>
      <c r="E51" s="20" t="s">
        <v>21</v>
      </c>
      <c r="F51" s="21" t="s">
        <v>53</v>
      </c>
      <c r="G51" s="19" t="s">
        <v>53</v>
      </c>
    </row>
    <row r="52" spans="1:8" ht="25.5" customHeight="1" x14ac:dyDescent="0.25">
      <c r="A52" s="19">
        <v>9</v>
      </c>
      <c r="B52" s="20" t="s">
        <v>8</v>
      </c>
      <c r="C52" s="19" t="s">
        <v>54</v>
      </c>
      <c r="D52" s="20" t="s">
        <v>69</v>
      </c>
      <c r="E52" s="20" t="s">
        <v>22</v>
      </c>
      <c r="F52" s="21" t="s">
        <v>53</v>
      </c>
      <c r="G52" s="19" t="s">
        <v>53</v>
      </c>
    </row>
    <row r="53" spans="1:8" ht="38.25" customHeight="1" x14ac:dyDescent="0.25">
      <c r="A53" s="19">
        <v>10</v>
      </c>
      <c r="B53" s="20" t="s">
        <v>7</v>
      </c>
      <c r="C53" s="19" t="s">
        <v>58</v>
      </c>
      <c r="D53" s="20" t="s">
        <v>70</v>
      </c>
      <c r="E53" s="20" t="s">
        <v>71</v>
      </c>
      <c r="F53" s="21" t="s">
        <v>53</v>
      </c>
      <c r="G53" s="19" t="s">
        <v>53</v>
      </c>
    </row>
    <row r="54" spans="1:8" ht="38.25" customHeight="1" x14ac:dyDescent="0.25">
      <c r="A54" s="19">
        <v>11</v>
      </c>
      <c r="B54" s="20" t="s">
        <v>8</v>
      </c>
      <c r="C54" s="19" t="s">
        <v>72</v>
      </c>
      <c r="D54" s="20" t="s">
        <v>73</v>
      </c>
      <c r="E54" s="20" t="s">
        <v>71</v>
      </c>
      <c r="F54" s="21" t="s">
        <v>53</v>
      </c>
      <c r="G54" s="19" t="s">
        <v>74</v>
      </c>
    </row>
    <row r="55" spans="1:8" ht="25.5" customHeight="1" x14ac:dyDescent="0.25">
      <c r="A55" s="19">
        <v>12</v>
      </c>
      <c r="B55" s="20" t="s">
        <v>7</v>
      </c>
      <c r="C55" s="19" t="s">
        <v>61</v>
      </c>
      <c r="D55" s="20" t="s">
        <v>75</v>
      </c>
      <c r="E55" s="20" t="s">
        <v>22</v>
      </c>
      <c r="F55" s="21" t="s">
        <v>53</v>
      </c>
      <c r="G55" s="19" t="s">
        <v>53</v>
      </c>
    </row>
    <row r="56" spans="1:8" ht="25.5" customHeight="1" x14ac:dyDescent="0.25">
      <c r="A56" s="19">
        <v>13</v>
      </c>
      <c r="B56" s="20" t="s">
        <v>8</v>
      </c>
      <c r="C56" s="19" t="s">
        <v>72</v>
      </c>
      <c r="D56" s="20" t="s">
        <v>55</v>
      </c>
      <c r="E56" s="20" t="s">
        <v>21</v>
      </c>
      <c r="F56" s="21" t="s">
        <v>53</v>
      </c>
      <c r="G56" s="19" t="s">
        <v>53</v>
      </c>
    </row>
    <row r="57" spans="1:8" ht="25.5" customHeight="1" x14ac:dyDescent="0.25">
      <c r="A57" s="19">
        <v>14</v>
      </c>
      <c r="B57" s="20" t="s">
        <v>7</v>
      </c>
      <c r="C57" s="19" t="s">
        <v>58</v>
      </c>
      <c r="D57" s="20" t="s">
        <v>76</v>
      </c>
      <c r="E57" s="20" t="s">
        <v>57</v>
      </c>
      <c r="F57" s="21" t="s">
        <v>53</v>
      </c>
      <c r="G57" s="19" t="s">
        <v>74</v>
      </c>
    </row>
    <row r="58" spans="1:8" ht="25.5" customHeight="1" x14ac:dyDescent="0.25">
      <c r="A58" s="19">
        <v>15</v>
      </c>
      <c r="B58" s="20" t="s">
        <v>8</v>
      </c>
      <c r="C58" s="19" t="s">
        <v>77</v>
      </c>
      <c r="D58" s="20" t="s">
        <v>78</v>
      </c>
      <c r="E58" s="20" t="s">
        <v>22</v>
      </c>
      <c r="F58" s="21" t="s">
        <v>53</v>
      </c>
      <c r="G58" s="19" t="s">
        <v>53</v>
      </c>
    </row>
    <row r="59" spans="1:8" x14ac:dyDescent="0.25">
      <c r="A59" s="7" t="s">
        <v>79</v>
      </c>
      <c r="B59" s="7"/>
      <c r="C59" s="7"/>
      <c r="D59" s="7"/>
      <c r="E59" s="7"/>
      <c r="F59" s="7"/>
      <c r="G59" s="7"/>
      <c r="H59" s="7"/>
    </row>
    <row r="61" spans="1:8" ht="21.75" customHeight="1" x14ac:dyDescent="0.25">
      <c r="A61" s="6" t="s">
        <v>80</v>
      </c>
      <c r="B61" s="6"/>
      <c r="C61" s="6"/>
      <c r="D61" s="6"/>
      <c r="E61" s="6"/>
      <c r="F61" s="6"/>
      <c r="G61" s="6"/>
      <c r="H61" s="6"/>
    </row>
    <row r="62" spans="1:8" ht="18" customHeight="1" x14ac:dyDescent="0.25">
      <c r="A62" s="10" t="s">
        <v>81</v>
      </c>
      <c r="B62" s="10" t="s">
        <v>82</v>
      </c>
      <c r="C62" s="10" t="s">
        <v>83</v>
      </c>
      <c r="D62" s="10" t="s">
        <v>84</v>
      </c>
      <c r="E62" s="10" t="s">
        <v>49</v>
      </c>
    </row>
    <row r="63" spans="1:8" ht="51" customHeight="1" x14ac:dyDescent="0.25">
      <c r="A63" s="19" t="s">
        <v>85</v>
      </c>
      <c r="B63" s="20" t="s">
        <v>86</v>
      </c>
      <c r="C63" s="20" t="s">
        <v>7</v>
      </c>
      <c r="D63" s="20" t="s">
        <v>87</v>
      </c>
      <c r="E63" s="19" t="s">
        <v>88</v>
      </c>
    </row>
    <row r="64" spans="1:8" ht="89.25" customHeight="1" x14ac:dyDescent="0.25">
      <c r="A64" s="19" t="s">
        <v>89</v>
      </c>
      <c r="B64" s="20" t="s">
        <v>90</v>
      </c>
      <c r="C64" s="20" t="s">
        <v>91</v>
      </c>
      <c r="D64" s="20" t="s">
        <v>92</v>
      </c>
      <c r="E64" s="19" t="s">
        <v>93</v>
      </c>
    </row>
    <row r="65" spans="1:8" ht="76.5" customHeight="1" x14ac:dyDescent="0.25">
      <c r="A65" s="19" t="s">
        <v>94</v>
      </c>
      <c r="B65" s="20" t="s">
        <v>95</v>
      </c>
      <c r="C65" s="20" t="s">
        <v>96</v>
      </c>
      <c r="D65" s="20" t="s">
        <v>97</v>
      </c>
      <c r="E65" s="19" t="s">
        <v>88</v>
      </c>
    </row>
    <row r="66" spans="1:8" ht="38.25" customHeight="1" x14ac:dyDescent="0.25">
      <c r="A66" s="19" t="s">
        <v>98</v>
      </c>
      <c r="B66" s="20" t="s">
        <v>99</v>
      </c>
      <c r="C66" s="20" t="s">
        <v>7</v>
      </c>
      <c r="D66" s="20" t="s">
        <v>100</v>
      </c>
      <c r="E66" s="19" t="s">
        <v>101</v>
      </c>
    </row>
    <row r="67" spans="1:8" ht="63.75" customHeight="1" x14ac:dyDescent="0.25">
      <c r="A67" s="19" t="s">
        <v>102</v>
      </c>
      <c r="B67" s="20" t="s">
        <v>103</v>
      </c>
      <c r="C67" s="20" t="s">
        <v>8</v>
      </c>
      <c r="D67" s="20" t="s">
        <v>104</v>
      </c>
      <c r="E67" s="19" t="s">
        <v>101</v>
      </c>
    </row>
    <row r="68" spans="1:8" ht="63.75" customHeight="1" x14ac:dyDescent="0.25">
      <c r="A68" s="19" t="s">
        <v>105</v>
      </c>
      <c r="B68" s="20" t="s">
        <v>106</v>
      </c>
      <c r="C68" s="20" t="s">
        <v>7</v>
      </c>
      <c r="D68" s="20" t="s">
        <v>104</v>
      </c>
      <c r="E68" s="19" t="s">
        <v>101</v>
      </c>
    </row>
    <row r="69" spans="1:8" ht="76.5" customHeight="1" x14ac:dyDescent="0.25">
      <c r="A69" s="19" t="s">
        <v>107</v>
      </c>
      <c r="B69" s="20" t="s">
        <v>108</v>
      </c>
      <c r="C69" s="20" t="s">
        <v>96</v>
      </c>
      <c r="D69" s="20" t="s">
        <v>109</v>
      </c>
      <c r="E69" s="19" t="s">
        <v>110</v>
      </c>
    </row>
    <row r="70" spans="1:8" ht="63.75" customHeight="1" x14ac:dyDescent="0.25">
      <c r="A70" s="19" t="s">
        <v>111</v>
      </c>
      <c r="B70" s="20" t="s">
        <v>112</v>
      </c>
      <c r="C70" s="20" t="s">
        <v>7</v>
      </c>
      <c r="D70" s="20" t="s">
        <v>113</v>
      </c>
      <c r="E70" s="19" t="s">
        <v>110</v>
      </c>
    </row>
    <row r="71" spans="1:8" ht="63.75" customHeight="1" x14ac:dyDescent="0.25">
      <c r="A71" s="19" t="s">
        <v>114</v>
      </c>
      <c r="B71" s="20" t="s">
        <v>115</v>
      </c>
      <c r="C71" s="20" t="s">
        <v>7</v>
      </c>
      <c r="D71" s="20" t="s">
        <v>104</v>
      </c>
      <c r="E71" s="19" t="s">
        <v>110</v>
      </c>
    </row>
    <row r="72" spans="1:8" ht="89.25" customHeight="1" x14ac:dyDescent="0.25">
      <c r="A72" s="19" t="s">
        <v>116</v>
      </c>
      <c r="B72" s="20" t="s">
        <v>117</v>
      </c>
      <c r="C72" s="20" t="s">
        <v>96</v>
      </c>
      <c r="D72" s="20" t="s">
        <v>118</v>
      </c>
      <c r="E72" s="19" t="s">
        <v>119</v>
      </c>
    </row>
    <row r="75" spans="1:8" ht="21.75" customHeight="1" x14ac:dyDescent="0.25">
      <c r="A75" s="6" t="s">
        <v>120</v>
      </c>
      <c r="B75" s="6"/>
      <c r="C75" s="6"/>
      <c r="D75" s="6"/>
      <c r="E75" s="6"/>
      <c r="F75" s="6"/>
      <c r="G75" s="6"/>
      <c r="H75" s="6"/>
    </row>
    <row r="76" spans="1:8" ht="25.5" customHeight="1" x14ac:dyDescent="0.25">
      <c r="A76" s="22" t="s">
        <v>121</v>
      </c>
      <c r="B76" s="3" t="s">
        <v>122</v>
      </c>
      <c r="C76" s="3"/>
      <c r="D76" s="3"/>
      <c r="E76" s="3"/>
      <c r="F76" s="3"/>
      <c r="G76" s="3"/>
      <c r="H76" s="3"/>
    </row>
    <row r="77" spans="1:8" ht="25.5" customHeight="1" x14ac:dyDescent="0.25">
      <c r="A77" s="22" t="s">
        <v>123</v>
      </c>
      <c r="B77" s="3" t="s">
        <v>124</v>
      </c>
      <c r="C77" s="3"/>
      <c r="D77" s="3"/>
      <c r="E77" s="3"/>
      <c r="F77" s="3"/>
      <c r="G77" s="3"/>
      <c r="H77" s="3"/>
    </row>
    <row r="78" spans="1:8" ht="25.5" customHeight="1" x14ac:dyDescent="0.25">
      <c r="A78" s="22" t="s">
        <v>125</v>
      </c>
      <c r="B78" s="3" t="s">
        <v>126</v>
      </c>
      <c r="C78" s="3"/>
      <c r="D78" s="3"/>
      <c r="E78" s="3"/>
      <c r="F78" s="3"/>
      <c r="G78" s="3"/>
      <c r="H78" s="3"/>
    </row>
    <row r="79" spans="1:8" ht="25.5" customHeight="1" x14ac:dyDescent="0.25">
      <c r="A79" s="22" t="s">
        <v>127</v>
      </c>
      <c r="B79" s="3" t="s">
        <v>128</v>
      </c>
      <c r="C79" s="3"/>
      <c r="D79" s="3"/>
      <c r="E79" s="3"/>
      <c r="F79" s="3"/>
      <c r="G79" s="3"/>
      <c r="H79" s="3"/>
    </row>
    <row r="80" spans="1:8" ht="25.5" customHeight="1" x14ac:dyDescent="0.25">
      <c r="A80" s="22" t="s">
        <v>129</v>
      </c>
      <c r="B80" s="3" t="s">
        <v>130</v>
      </c>
      <c r="C80" s="3"/>
      <c r="D80" s="3"/>
      <c r="E80" s="3"/>
      <c r="F80" s="3"/>
      <c r="G80" s="3"/>
      <c r="H80" s="3"/>
    </row>
    <row r="81" spans="1:8" ht="25.5" customHeight="1" x14ac:dyDescent="0.25">
      <c r="A81" s="22" t="s">
        <v>131</v>
      </c>
      <c r="B81" s="3" t="s">
        <v>132</v>
      </c>
      <c r="C81" s="3"/>
      <c r="D81" s="3"/>
      <c r="E81" s="3"/>
      <c r="F81" s="3"/>
      <c r="G81" s="3"/>
      <c r="H81" s="3"/>
    </row>
    <row r="83" spans="1:8" ht="21.75" customHeight="1" x14ac:dyDescent="0.25">
      <c r="A83" s="6" t="s">
        <v>133</v>
      </c>
      <c r="B83" s="6"/>
      <c r="C83" s="6"/>
      <c r="D83" s="6"/>
      <c r="E83" s="6"/>
      <c r="F83" s="6"/>
      <c r="G83" s="6"/>
      <c r="H83" s="6"/>
    </row>
    <row r="84" spans="1:8" ht="39" customHeight="1" x14ac:dyDescent="0.25">
      <c r="A84" s="5" t="s">
        <v>134</v>
      </c>
      <c r="B84" s="5"/>
      <c r="C84" s="5"/>
      <c r="D84" s="5"/>
      <c r="E84" s="5"/>
      <c r="F84" s="5"/>
      <c r="G84" s="5"/>
      <c r="H84" s="5"/>
    </row>
    <row r="85" spans="1:8" ht="15" customHeight="1" x14ac:dyDescent="0.25">
      <c r="A85" s="5" t="s">
        <v>135</v>
      </c>
      <c r="B85" s="5"/>
      <c r="C85" s="5"/>
      <c r="D85" s="5"/>
      <c r="E85" s="5"/>
      <c r="F85" s="5"/>
      <c r="G85" s="5"/>
      <c r="H85" s="5"/>
    </row>
    <row r="86" spans="1:8" ht="25.5" customHeight="1" x14ac:dyDescent="0.25">
      <c r="A86" s="5" t="s">
        <v>136</v>
      </c>
      <c r="B86" s="5"/>
      <c r="C86" s="5"/>
      <c r="D86" s="5"/>
      <c r="E86" s="5"/>
      <c r="F86" s="5"/>
      <c r="G86" s="5"/>
      <c r="H86" s="5"/>
    </row>
    <row r="87" spans="1:8" ht="25.5" customHeight="1" x14ac:dyDescent="0.25">
      <c r="A87" s="5" t="s">
        <v>137</v>
      </c>
      <c r="B87" s="5"/>
      <c r="C87" s="5"/>
      <c r="D87" s="5"/>
      <c r="E87" s="5"/>
      <c r="F87" s="5"/>
      <c r="G87" s="5"/>
      <c r="H87" s="5"/>
    </row>
    <row r="88" spans="1:8" ht="25.5" customHeight="1" x14ac:dyDescent="0.25">
      <c r="A88" s="5" t="s">
        <v>138</v>
      </c>
      <c r="B88" s="5"/>
      <c r="C88" s="5"/>
      <c r="D88" s="5"/>
      <c r="E88" s="5"/>
      <c r="F88" s="5"/>
      <c r="G88" s="5"/>
      <c r="H88" s="5"/>
    </row>
    <row r="89" spans="1:8" ht="25.5" customHeight="1" x14ac:dyDescent="0.25">
      <c r="A89" s="5" t="s">
        <v>139</v>
      </c>
      <c r="B89" s="5"/>
      <c r="C89" s="5"/>
      <c r="D89" s="5"/>
      <c r="E89" s="5"/>
      <c r="F89" s="5"/>
      <c r="G89" s="5"/>
      <c r="H89" s="5"/>
    </row>
    <row r="90" spans="1:8" ht="25.5" customHeight="1" x14ac:dyDescent="0.25">
      <c r="A90" s="5" t="s">
        <v>140</v>
      </c>
      <c r="B90" s="5"/>
      <c r="C90" s="5"/>
      <c r="D90" s="5"/>
      <c r="E90" s="5"/>
      <c r="F90" s="5"/>
      <c r="G90" s="5"/>
      <c r="H90" s="5"/>
    </row>
    <row r="91" spans="1:8" ht="25.5" customHeight="1" x14ac:dyDescent="0.25">
      <c r="A91" s="5" t="s">
        <v>141</v>
      </c>
      <c r="B91" s="5"/>
      <c r="C91" s="5"/>
      <c r="D91" s="5"/>
      <c r="E91" s="5"/>
      <c r="F91" s="5"/>
      <c r="G91" s="5"/>
      <c r="H91" s="5"/>
    </row>
    <row r="92" spans="1:8" ht="15" customHeight="1" x14ac:dyDescent="0.25">
      <c r="A92" s="5" t="s">
        <v>142</v>
      </c>
      <c r="B92" s="5"/>
      <c r="C92" s="5"/>
      <c r="D92" s="5"/>
      <c r="E92" s="5"/>
      <c r="F92" s="5"/>
      <c r="G92" s="5"/>
      <c r="H92" s="5"/>
    </row>
  </sheetData>
  <mergeCells count="40">
    <mergeCell ref="A88:H88"/>
    <mergeCell ref="A89:H89"/>
    <mergeCell ref="A90:H90"/>
    <mergeCell ref="A91:H91"/>
    <mergeCell ref="A92:H92"/>
    <mergeCell ref="A83:H83"/>
    <mergeCell ref="A84:H84"/>
    <mergeCell ref="A85:H85"/>
    <mergeCell ref="A86:H86"/>
    <mergeCell ref="A87:H87"/>
    <mergeCell ref="B77:H77"/>
    <mergeCell ref="B78:H78"/>
    <mergeCell ref="B79:H79"/>
    <mergeCell ref="B80:H80"/>
    <mergeCell ref="B81:H81"/>
    <mergeCell ref="A42:H42"/>
    <mergeCell ref="A59:H59"/>
    <mergeCell ref="A61:H61"/>
    <mergeCell ref="A75:H75"/>
    <mergeCell ref="B76:H76"/>
    <mergeCell ref="A36:H36"/>
    <mergeCell ref="A37:H37"/>
    <mergeCell ref="A38:H38"/>
    <mergeCell ref="A39:H39"/>
    <mergeCell ref="A40:H40"/>
    <mergeCell ref="A31:H31"/>
    <mergeCell ref="A32:H32"/>
    <mergeCell ref="A33:H33"/>
    <mergeCell ref="A34:H34"/>
    <mergeCell ref="A35:H35"/>
    <mergeCell ref="A8:H8"/>
    <mergeCell ref="A15:H15"/>
    <mergeCell ref="A22:H22"/>
    <mergeCell ref="A28:H28"/>
    <mergeCell ref="A30:H30"/>
    <mergeCell ref="A1:H1"/>
    <mergeCell ref="A2:H2"/>
    <mergeCell ref="A4:H4"/>
    <mergeCell ref="A5:H5"/>
    <mergeCell ref="A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9"/>
  <sheetViews>
    <sheetView showGridLines="0" zoomScaleNormal="100" workbookViewId="0">
      <pane xSplit="3" ySplit="4" topLeftCell="I8" activePane="bottomRight" state="frozen"/>
      <selection pane="topRight" activeCell="I1" sqref="I1"/>
      <selection pane="bottomLeft" activeCell="A54" sqref="A54"/>
      <selection pane="bottomRight" activeCell="M28" sqref="M28"/>
    </sheetView>
  </sheetViews>
  <sheetFormatPr baseColWidth="10" defaultColWidth="8.7109375" defaultRowHeight="15" x14ac:dyDescent="0.25"/>
  <cols>
    <col min="1" max="1" width="16" customWidth="1"/>
    <col min="2" max="2" width="11" customWidth="1"/>
    <col min="3" max="3" width="42" customWidth="1"/>
    <col min="4" max="4" width="8" customWidth="1"/>
    <col min="5" max="5" width="19" customWidth="1"/>
    <col min="6" max="6" width="25" customWidth="1"/>
    <col min="7" max="8" width="44" customWidth="1"/>
    <col min="9" max="9" width="32"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58" customWidth="1"/>
    <col min="18" max="18" width="40" customWidth="1"/>
    <col min="19" max="19" width="74" customWidth="1"/>
    <col min="20" max="20" width="22" customWidth="1"/>
    <col min="21" max="21" width="12" customWidth="1"/>
    <col min="22" max="22" width="21" customWidth="1"/>
  </cols>
  <sheetData>
    <row r="1" spans="1:22" ht="33.75" customHeight="1" x14ac:dyDescent="0.25">
      <c r="A1" s="9" t="s">
        <v>143</v>
      </c>
      <c r="B1" s="9"/>
      <c r="C1" s="9"/>
      <c r="D1" s="9"/>
      <c r="E1" s="9"/>
      <c r="F1" s="9"/>
      <c r="G1" s="9"/>
      <c r="H1" s="9"/>
      <c r="I1" s="9"/>
      <c r="J1" s="9"/>
      <c r="K1" s="9"/>
      <c r="L1" s="9"/>
      <c r="M1" s="9"/>
      <c r="N1" s="9"/>
      <c r="O1" s="9"/>
      <c r="P1" s="9"/>
      <c r="Q1" s="9"/>
      <c r="R1" s="9"/>
      <c r="S1" s="9"/>
      <c r="T1" s="9"/>
      <c r="U1" s="9"/>
      <c r="V1" s="9"/>
    </row>
    <row r="2" spans="1:22" ht="18" customHeight="1" x14ac:dyDescent="0.25">
      <c r="A2" s="8" t="s">
        <v>144</v>
      </c>
      <c r="B2" s="8"/>
      <c r="C2" s="8"/>
      <c r="D2" s="8"/>
      <c r="E2" s="8"/>
      <c r="F2" s="8"/>
      <c r="G2" s="8"/>
      <c r="H2" s="8"/>
      <c r="I2" s="8"/>
      <c r="J2" s="8"/>
      <c r="K2" s="8"/>
      <c r="L2" s="8"/>
      <c r="M2" s="8"/>
      <c r="N2" s="8"/>
      <c r="O2" s="8"/>
      <c r="P2" s="8"/>
      <c r="Q2" s="8"/>
      <c r="R2" s="8"/>
      <c r="S2" s="8"/>
      <c r="T2" s="8"/>
      <c r="U2" s="8"/>
      <c r="V2" s="8"/>
    </row>
    <row r="4" spans="1:22" ht="39.75" customHeight="1" x14ac:dyDescent="0.25">
      <c r="A4" s="10" t="s">
        <v>45</v>
      </c>
      <c r="B4" s="10" t="s">
        <v>145</v>
      </c>
      <c r="C4" s="10" t="s">
        <v>47</v>
      </c>
      <c r="D4" s="10" t="s">
        <v>146</v>
      </c>
      <c r="E4" s="10" t="s">
        <v>147</v>
      </c>
      <c r="F4" s="10" t="s">
        <v>148</v>
      </c>
      <c r="G4" s="10" t="s">
        <v>149</v>
      </c>
      <c r="H4" s="10" t="s">
        <v>150</v>
      </c>
      <c r="I4" s="10" t="s">
        <v>151</v>
      </c>
      <c r="J4" s="10" t="s">
        <v>21</v>
      </c>
      <c r="K4" s="10" t="s">
        <v>22</v>
      </c>
      <c r="L4" s="10" t="s">
        <v>23</v>
      </c>
      <c r="M4" s="23" t="s">
        <v>152</v>
      </c>
      <c r="N4" s="23" t="s">
        <v>153</v>
      </c>
      <c r="O4" s="23" t="s">
        <v>26</v>
      </c>
      <c r="P4" s="10" t="s">
        <v>154</v>
      </c>
      <c r="Q4" s="10" t="s">
        <v>155</v>
      </c>
      <c r="R4" s="10" t="s">
        <v>48</v>
      </c>
      <c r="S4" s="10" t="s">
        <v>156</v>
      </c>
      <c r="T4" s="10" t="s">
        <v>157</v>
      </c>
      <c r="U4" s="10" t="s">
        <v>158</v>
      </c>
      <c r="V4" s="10" t="s">
        <v>159</v>
      </c>
    </row>
    <row r="5" spans="1:22" ht="76.5" customHeight="1" x14ac:dyDescent="0.25">
      <c r="A5" s="24" t="s">
        <v>160</v>
      </c>
      <c r="B5" s="25" t="s">
        <v>161</v>
      </c>
      <c r="C5" s="24" t="s">
        <v>162</v>
      </c>
      <c r="D5" s="25">
        <v>2</v>
      </c>
      <c r="E5" s="24" t="s">
        <v>163</v>
      </c>
      <c r="F5" s="24" t="s">
        <v>164</v>
      </c>
      <c r="G5" s="24" t="s">
        <v>165</v>
      </c>
      <c r="H5" s="24" t="s">
        <v>166</v>
      </c>
      <c r="I5" s="24" t="s">
        <v>167</v>
      </c>
      <c r="J5" s="26" t="s">
        <v>168</v>
      </c>
      <c r="K5" s="26" t="s">
        <v>168</v>
      </c>
      <c r="L5" s="26" t="s">
        <v>168</v>
      </c>
      <c r="M5" s="27" t="s">
        <v>169</v>
      </c>
      <c r="N5" s="28" t="s">
        <v>169</v>
      </c>
      <c r="O5" s="29" t="s">
        <v>29</v>
      </c>
      <c r="P5" s="26" t="s">
        <v>168</v>
      </c>
      <c r="Q5" s="24" t="s">
        <v>170</v>
      </c>
      <c r="R5" s="24" t="s">
        <v>171</v>
      </c>
      <c r="S5" s="24" t="s">
        <v>172</v>
      </c>
      <c r="T5" s="24" t="s">
        <v>173</v>
      </c>
      <c r="U5" s="30" t="s">
        <v>74</v>
      </c>
      <c r="V5" s="24" t="s">
        <v>174</v>
      </c>
    </row>
    <row r="6" spans="1:22" ht="25.5" customHeight="1" x14ac:dyDescent="0.25">
      <c r="A6" s="27" t="s">
        <v>160</v>
      </c>
      <c r="B6" s="28" t="s">
        <v>161</v>
      </c>
      <c r="C6" s="27" t="s">
        <v>175</v>
      </c>
      <c r="D6" s="28">
        <v>3</v>
      </c>
      <c r="E6" s="27" t="s">
        <v>163</v>
      </c>
      <c r="F6" s="27" t="s">
        <v>176</v>
      </c>
      <c r="G6" s="27" t="s">
        <v>177</v>
      </c>
      <c r="H6" s="27" t="s">
        <v>178</v>
      </c>
      <c r="I6" s="27" t="s">
        <v>179</v>
      </c>
      <c r="J6" s="26" t="s">
        <v>168</v>
      </c>
      <c r="K6" s="26" t="s">
        <v>168</v>
      </c>
      <c r="L6" s="26" t="s">
        <v>168</v>
      </c>
      <c r="M6" s="27" t="s">
        <v>169</v>
      </c>
      <c r="N6" s="28" t="s">
        <v>169</v>
      </c>
      <c r="O6" s="29" t="s">
        <v>29</v>
      </c>
      <c r="P6" s="26" t="s">
        <v>168</v>
      </c>
      <c r="Q6" s="27" t="s">
        <v>180</v>
      </c>
      <c r="R6" s="27" t="s">
        <v>181</v>
      </c>
      <c r="S6" s="27" t="s">
        <v>182</v>
      </c>
      <c r="T6" s="27" t="s">
        <v>183</v>
      </c>
      <c r="U6" s="31" t="s">
        <v>168</v>
      </c>
      <c r="V6" s="27" t="s">
        <v>174</v>
      </c>
    </row>
    <row r="7" spans="1:22" ht="25.5" customHeight="1" x14ac:dyDescent="0.25">
      <c r="A7" s="24" t="s">
        <v>160</v>
      </c>
      <c r="B7" s="25" t="s">
        <v>161</v>
      </c>
      <c r="C7" s="24" t="s">
        <v>184</v>
      </c>
      <c r="D7" s="25">
        <v>3</v>
      </c>
      <c r="E7" s="24" t="s">
        <v>163</v>
      </c>
      <c r="F7" s="24" t="s">
        <v>185</v>
      </c>
      <c r="G7" s="24" t="s">
        <v>186</v>
      </c>
      <c r="H7" s="24" t="s">
        <v>187</v>
      </c>
      <c r="I7" s="24" t="s">
        <v>188</v>
      </c>
      <c r="J7" s="26" t="s">
        <v>168</v>
      </c>
      <c r="K7" s="26" t="s">
        <v>168</v>
      </c>
      <c r="L7" s="26" t="s">
        <v>168</v>
      </c>
      <c r="M7" s="24" t="s">
        <v>169</v>
      </c>
      <c r="N7" s="25" t="s">
        <v>169</v>
      </c>
      <c r="O7" s="29" t="s">
        <v>29</v>
      </c>
      <c r="P7" s="26" t="s">
        <v>168</v>
      </c>
      <c r="Q7" s="24" t="s">
        <v>180</v>
      </c>
      <c r="R7" s="24" t="s">
        <v>181</v>
      </c>
      <c r="S7" s="24" t="s">
        <v>189</v>
      </c>
      <c r="T7" s="24" t="s">
        <v>183</v>
      </c>
      <c r="U7" s="32" t="s">
        <v>168</v>
      </c>
      <c r="V7" s="24" t="s">
        <v>174</v>
      </c>
    </row>
    <row r="8" spans="1:22" ht="25.5" customHeight="1" x14ac:dyDescent="0.25">
      <c r="A8" s="27" t="s">
        <v>160</v>
      </c>
      <c r="B8" s="28" t="s">
        <v>161</v>
      </c>
      <c r="C8" s="27" t="s">
        <v>190</v>
      </c>
      <c r="D8" s="28">
        <v>3</v>
      </c>
      <c r="E8" s="27" t="s">
        <v>163</v>
      </c>
      <c r="F8" s="27" t="s">
        <v>185</v>
      </c>
      <c r="G8" s="27" t="s">
        <v>191</v>
      </c>
      <c r="H8" s="27" t="s">
        <v>192</v>
      </c>
      <c r="I8" s="27" t="s">
        <v>193</v>
      </c>
      <c r="J8" s="26" t="s">
        <v>168</v>
      </c>
      <c r="K8" s="26" t="s">
        <v>168</v>
      </c>
      <c r="L8" s="26" t="s">
        <v>168</v>
      </c>
      <c r="M8" s="27" t="s">
        <v>169</v>
      </c>
      <c r="N8" s="28" t="s">
        <v>169</v>
      </c>
      <c r="O8" s="29" t="s">
        <v>29</v>
      </c>
      <c r="P8" s="33" t="s">
        <v>74</v>
      </c>
      <c r="Q8" s="27" t="s">
        <v>194</v>
      </c>
      <c r="R8" s="27" t="s">
        <v>195</v>
      </c>
      <c r="S8" s="27" t="s">
        <v>196</v>
      </c>
      <c r="T8" s="27" t="s">
        <v>183</v>
      </c>
      <c r="U8" s="31" t="s">
        <v>168</v>
      </c>
      <c r="V8" s="27" t="s">
        <v>174</v>
      </c>
    </row>
    <row r="9" spans="1:22" ht="25.5" customHeight="1" x14ac:dyDescent="0.25">
      <c r="A9" s="24" t="s">
        <v>160</v>
      </c>
      <c r="B9" s="25" t="s">
        <v>161</v>
      </c>
      <c r="C9" s="24" t="s">
        <v>197</v>
      </c>
      <c r="D9" s="25">
        <v>3</v>
      </c>
      <c r="E9" s="24" t="s">
        <v>163</v>
      </c>
      <c r="F9" s="24" t="s">
        <v>176</v>
      </c>
      <c r="G9" s="24" t="s">
        <v>198</v>
      </c>
      <c r="H9" s="24" t="s">
        <v>199</v>
      </c>
      <c r="I9" s="24" t="s">
        <v>188</v>
      </c>
      <c r="J9" s="26" t="s">
        <v>168</v>
      </c>
      <c r="K9" s="26" t="s">
        <v>168</v>
      </c>
      <c r="L9" s="26" t="s">
        <v>168</v>
      </c>
      <c r="M9" s="24" t="s">
        <v>169</v>
      </c>
      <c r="N9" s="25" t="s">
        <v>169</v>
      </c>
      <c r="O9" s="29" t="s">
        <v>29</v>
      </c>
      <c r="P9" s="26" t="s">
        <v>168</v>
      </c>
      <c r="Q9" s="24" t="s">
        <v>180</v>
      </c>
      <c r="R9" s="24" t="s">
        <v>181</v>
      </c>
      <c r="S9" s="24" t="s">
        <v>200</v>
      </c>
      <c r="T9" s="24" t="s">
        <v>183</v>
      </c>
      <c r="U9" s="32" t="s">
        <v>168</v>
      </c>
      <c r="V9" s="24" t="s">
        <v>174</v>
      </c>
    </row>
    <row r="10" spans="1:22" ht="25.5" customHeight="1" x14ac:dyDescent="0.25">
      <c r="A10" s="27" t="s">
        <v>160</v>
      </c>
      <c r="B10" s="28" t="s">
        <v>161</v>
      </c>
      <c r="C10" s="27" t="s">
        <v>201</v>
      </c>
      <c r="D10" s="28">
        <v>3</v>
      </c>
      <c r="E10" s="27" t="s">
        <v>202</v>
      </c>
      <c r="F10" s="27" t="s">
        <v>203</v>
      </c>
      <c r="G10" s="27" t="s">
        <v>204</v>
      </c>
      <c r="H10" s="27" t="s">
        <v>205</v>
      </c>
      <c r="I10" s="27" t="s">
        <v>206</v>
      </c>
      <c r="J10" s="26" t="s">
        <v>168</v>
      </c>
      <c r="K10" s="26" t="s">
        <v>168</v>
      </c>
      <c r="L10" s="26" t="s">
        <v>168</v>
      </c>
      <c r="M10" s="27" t="s">
        <v>169</v>
      </c>
      <c r="N10" s="28" t="s">
        <v>169</v>
      </c>
      <c r="O10" s="29" t="s">
        <v>29</v>
      </c>
      <c r="P10" s="26" t="s">
        <v>168</v>
      </c>
      <c r="Q10" s="27" t="s">
        <v>180</v>
      </c>
      <c r="R10" s="27" t="s">
        <v>181</v>
      </c>
      <c r="S10" s="27" t="s">
        <v>207</v>
      </c>
      <c r="T10" s="27" t="s">
        <v>183</v>
      </c>
      <c r="U10" s="31" t="s">
        <v>168</v>
      </c>
      <c r="V10" s="27" t="s">
        <v>174</v>
      </c>
    </row>
    <row r="11" spans="1:22" ht="25.5" customHeight="1" x14ac:dyDescent="0.25">
      <c r="A11" s="24" t="s">
        <v>160</v>
      </c>
      <c r="B11" s="25" t="s">
        <v>161</v>
      </c>
      <c r="C11" s="24" t="s">
        <v>208</v>
      </c>
      <c r="D11" s="25">
        <v>1</v>
      </c>
      <c r="E11" s="24" t="s">
        <v>202</v>
      </c>
      <c r="F11" s="24" t="s">
        <v>209</v>
      </c>
      <c r="G11" s="24" t="s">
        <v>210</v>
      </c>
      <c r="H11" s="24" t="s">
        <v>211</v>
      </c>
      <c r="I11" s="24" t="s">
        <v>188</v>
      </c>
      <c r="J11" s="26" t="s">
        <v>168</v>
      </c>
      <c r="K11" s="26" t="s">
        <v>168</v>
      </c>
      <c r="L11" s="26" t="s">
        <v>168</v>
      </c>
      <c r="M11" s="24" t="s">
        <v>169</v>
      </c>
      <c r="N11" s="25" t="s">
        <v>169</v>
      </c>
      <c r="O11" s="29" t="s">
        <v>29</v>
      </c>
      <c r="P11" s="26" t="s">
        <v>168</v>
      </c>
      <c r="Q11" s="24" t="s">
        <v>180</v>
      </c>
      <c r="R11" s="24" t="s">
        <v>181</v>
      </c>
      <c r="S11" s="24" t="s">
        <v>212</v>
      </c>
      <c r="T11" s="24" t="s">
        <v>183</v>
      </c>
      <c r="U11" s="32" t="s">
        <v>168</v>
      </c>
      <c r="V11" s="24" t="s">
        <v>174</v>
      </c>
    </row>
    <row r="12" spans="1:22" ht="25.5" customHeight="1" x14ac:dyDescent="0.25">
      <c r="A12" s="27" t="s">
        <v>160</v>
      </c>
      <c r="B12" s="28" t="s">
        <v>213</v>
      </c>
      <c r="C12" s="27" t="s">
        <v>214</v>
      </c>
      <c r="D12" s="28">
        <v>3</v>
      </c>
      <c r="E12" s="27" t="s">
        <v>163</v>
      </c>
      <c r="F12" s="27" t="s">
        <v>185</v>
      </c>
      <c r="G12" s="27" t="s">
        <v>215</v>
      </c>
      <c r="H12" s="27" t="s">
        <v>216</v>
      </c>
      <c r="I12" s="27" t="s">
        <v>188</v>
      </c>
      <c r="J12" s="26" t="s">
        <v>168</v>
      </c>
      <c r="K12" s="26" t="s">
        <v>168</v>
      </c>
      <c r="L12" s="26" t="s">
        <v>168</v>
      </c>
      <c r="M12" s="27" t="s">
        <v>169</v>
      </c>
      <c r="N12" s="28" t="s">
        <v>169</v>
      </c>
      <c r="O12" s="29" t="s">
        <v>29</v>
      </c>
      <c r="P12" s="26" t="s">
        <v>168</v>
      </c>
      <c r="Q12" s="27" t="s">
        <v>180</v>
      </c>
      <c r="R12" s="27" t="s">
        <v>181</v>
      </c>
      <c r="S12" s="27" t="s">
        <v>217</v>
      </c>
      <c r="T12" s="27" t="s">
        <v>183</v>
      </c>
      <c r="U12" s="31" t="s">
        <v>168</v>
      </c>
      <c r="V12" s="27" t="s">
        <v>174</v>
      </c>
    </row>
    <row r="13" spans="1:22" ht="25.5" customHeight="1" x14ac:dyDescent="0.25">
      <c r="A13" s="24" t="s">
        <v>160</v>
      </c>
      <c r="B13" s="25" t="s">
        <v>213</v>
      </c>
      <c r="C13" s="24" t="s">
        <v>218</v>
      </c>
      <c r="D13" s="25">
        <v>3</v>
      </c>
      <c r="E13" s="24" t="s">
        <v>163</v>
      </c>
      <c r="F13" s="24" t="s">
        <v>185</v>
      </c>
      <c r="G13" s="24" t="s">
        <v>219</v>
      </c>
      <c r="H13" s="24" t="s">
        <v>220</v>
      </c>
      <c r="I13" s="24" t="s">
        <v>193</v>
      </c>
      <c r="J13" s="26" t="s">
        <v>168</v>
      </c>
      <c r="K13" s="26" t="s">
        <v>168</v>
      </c>
      <c r="L13" s="26" t="s">
        <v>168</v>
      </c>
      <c r="M13" s="24" t="s">
        <v>169</v>
      </c>
      <c r="N13" s="25" t="s">
        <v>169</v>
      </c>
      <c r="O13" s="29" t="s">
        <v>29</v>
      </c>
      <c r="P13" s="33" t="s">
        <v>74</v>
      </c>
      <c r="Q13" s="24" t="s">
        <v>221</v>
      </c>
      <c r="R13" s="24" t="s">
        <v>195</v>
      </c>
      <c r="S13" s="24" t="s">
        <v>222</v>
      </c>
      <c r="T13" s="24" t="s">
        <v>183</v>
      </c>
      <c r="U13" s="32" t="s">
        <v>168</v>
      </c>
      <c r="V13" s="24" t="s">
        <v>174</v>
      </c>
    </row>
    <row r="14" spans="1:22" ht="25.5" customHeight="1" x14ac:dyDescent="0.25">
      <c r="A14" s="27" t="s">
        <v>160</v>
      </c>
      <c r="B14" s="28" t="s">
        <v>213</v>
      </c>
      <c r="C14" s="27" t="s">
        <v>223</v>
      </c>
      <c r="D14" s="28">
        <v>3</v>
      </c>
      <c r="E14" s="27" t="s">
        <v>163</v>
      </c>
      <c r="F14" s="27" t="s">
        <v>185</v>
      </c>
      <c r="G14" s="27" t="s">
        <v>224</v>
      </c>
      <c r="H14" s="27" t="s">
        <v>225</v>
      </c>
      <c r="I14" s="27" t="s">
        <v>188</v>
      </c>
      <c r="J14" s="26" t="s">
        <v>168</v>
      </c>
      <c r="K14" s="26" t="s">
        <v>168</v>
      </c>
      <c r="L14" s="26" t="s">
        <v>168</v>
      </c>
      <c r="M14" s="27" t="s">
        <v>169</v>
      </c>
      <c r="N14" s="28" t="s">
        <v>169</v>
      </c>
      <c r="O14" s="29" t="s">
        <v>29</v>
      </c>
      <c r="P14" s="26" t="s">
        <v>168</v>
      </c>
      <c r="Q14" s="27" t="s">
        <v>180</v>
      </c>
      <c r="R14" s="27" t="s">
        <v>181</v>
      </c>
      <c r="S14" s="27" t="s">
        <v>217</v>
      </c>
      <c r="T14" s="27" t="s">
        <v>183</v>
      </c>
      <c r="U14" s="31" t="s">
        <v>168</v>
      </c>
      <c r="V14" s="27" t="s">
        <v>174</v>
      </c>
    </row>
    <row r="15" spans="1:22" ht="25.5" customHeight="1" x14ac:dyDescent="0.25">
      <c r="A15" s="24" t="s">
        <v>160</v>
      </c>
      <c r="B15" s="25" t="s">
        <v>213</v>
      </c>
      <c r="C15" s="24" t="s">
        <v>226</v>
      </c>
      <c r="D15" s="25">
        <v>2</v>
      </c>
      <c r="E15" s="24" t="s">
        <v>163</v>
      </c>
      <c r="F15" s="24" t="s">
        <v>176</v>
      </c>
      <c r="G15" s="24" t="s">
        <v>227</v>
      </c>
      <c r="H15" s="24" t="s">
        <v>228</v>
      </c>
      <c r="I15" s="24" t="s">
        <v>229</v>
      </c>
      <c r="J15" s="26" t="s">
        <v>168</v>
      </c>
      <c r="K15" s="26" t="s">
        <v>168</v>
      </c>
      <c r="L15" s="26" t="s">
        <v>168</v>
      </c>
      <c r="M15" s="24" t="s">
        <v>169</v>
      </c>
      <c r="N15" s="25" t="s">
        <v>169</v>
      </c>
      <c r="O15" s="29" t="s">
        <v>29</v>
      </c>
      <c r="P15" s="33" t="s">
        <v>74</v>
      </c>
      <c r="Q15" s="24" t="s">
        <v>230</v>
      </c>
      <c r="R15" s="24" t="s">
        <v>231</v>
      </c>
      <c r="S15" s="24" t="s">
        <v>232</v>
      </c>
      <c r="T15" s="24" t="s">
        <v>183</v>
      </c>
      <c r="U15" s="32" t="s">
        <v>168</v>
      </c>
      <c r="V15" s="24" t="s">
        <v>174</v>
      </c>
    </row>
    <row r="16" spans="1:22" ht="25.5" customHeight="1" x14ac:dyDescent="0.25">
      <c r="A16" s="27" t="s">
        <v>160</v>
      </c>
      <c r="B16" s="28" t="s">
        <v>213</v>
      </c>
      <c r="C16" s="27" t="s">
        <v>233</v>
      </c>
      <c r="D16" s="28">
        <v>3</v>
      </c>
      <c r="E16" s="27" t="s">
        <v>163</v>
      </c>
      <c r="F16" s="27" t="s">
        <v>176</v>
      </c>
      <c r="G16" s="27" t="s">
        <v>234</v>
      </c>
      <c r="H16" s="27" t="s">
        <v>235</v>
      </c>
      <c r="I16" s="27" t="s">
        <v>188</v>
      </c>
      <c r="J16" s="26" t="s">
        <v>168</v>
      </c>
      <c r="K16" s="26" t="s">
        <v>168</v>
      </c>
      <c r="L16" s="26" t="s">
        <v>168</v>
      </c>
      <c r="M16" s="27" t="s">
        <v>169</v>
      </c>
      <c r="N16" s="28" t="s">
        <v>169</v>
      </c>
      <c r="O16" s="29" t="s">
        <v>29</v>
      </c>
      <c r="P16" s="26" t="s">
        <v>168</v>
      </c>
      <c r="Q16" s="27" t="s">
        <v>180</v>
      </c>
      <c r="R16" s="27" t="s">
        <v>181</v>
      </c>
      <c r="S16" s="27" t="s">
        <v>236</v>
      </c>
      <c r="T16" s="27" t="s">
        <v>183</v>
      </c>
      <c r="U16" s="31" t="s">
        <v>168</v>
      </c>
      <c r="V16" s="27" t="s">
        <v>174</v>
      </c>
    </row>
    <row r="17" spans="1:22" ht="76.5" customHeight="1" x14ac:dyDescent="0.25">
      <c r="A17" s="24" t="s">
        <v>160</v>
      </c>
      <c r="B17" s="25" t="s">
        <v>213</v>
      </c>
      <c r="C17" s="24" t="s">
        <v>237</v>
      </c>
      <c r="D17" s="25">
        <v>2</v>
      </c>
      <c r="E17" s="24" t="s">
        <v>238</v>
      </c>
      <c r="F17" s="24" t="s">
        <v>239</v>
      </c>
      <c r="G17" s="24" t="s">
        <v>240</v>
      </c>
      <c r="H17" s="24" t="s">
        <v>241</v>
      </c>
      <c r="I17" s="24" t="s">
        <v>242</v>
      </c>
      <c r="J17" s="26" t="s">
        <v>168</v>
      </c>
      <c r="K17" s="26" t="s">
        <v>168</v>
      </c>
      <c r="L17" s="26" t="s">
        <v>168</v>
      </c>
      <c r="M17" s="24" t="s">
        <v>243</v>
      </c>
      <c r="N17" s="25" t="s">
        <v>244</v>
      </c>
      <c r="O17" s="34" t="s">
        <v>27</v>
      </c>
      <c r="P17" s="33" t="s">
        <v>74</v>
      </c>
      <c r="Q17" s="24" t="s">
        <v>245</v>
      </c>
      <c r="R17" s="24" t="s">
        <v>246</v>
      </c>
      <c r="S17" s="24" t="s">
        <v>247</v>
      </c>
      <c r="T17" s="24" t="s">
        <v>248</v>
      </c>
      <c r="U17" s="35" t="s">
        <v>53</v>
      </c>
      <c r="V17" s="24" t="s">
        <v>174</v>
      </c>
    </row>
    <row r="18" spans="1:22" ht="38.25" customHeight="1" x14ac:dyDescent="0.25">
      <c r="A18" s="27" t="s">
        <v>160</v>
      </c>
      <c r="B18" s="28" t="s">
        <v>213</v>
      </c>
      <c r="C18" s="27" t="s">
        <v>249</v>
      </c>
      <c r="D18" s="28">
        <v>2</v>
      </c>
      <c r="E18" s="27" t="s">
        <v>250</v>
      </c>
      <c r="F18" s="27" t="s">
        <v>251</v>
      </c>
      <c r="G18" s="27" t="s">
        <v>252</v>
      </c>
      <c r="H18" s="27" t="s">
        <v>252</v>
      </c>
      <c r="I18" s="27" t="s">
        <v>253</v>
      </c>
      <c r="J18" s="36" t="s">
        <v>254</v>
      </c>
      <c r="K18" s="36" t="s">
        <v>254</v>
      </c>
      <c r="L18" s="36" t="s">
        <v>254</v>
      </c>
      <c r="M18" s="27" t="s">
        <v>255</v>
      </c>
      <c r="N18" s="28" t="s">
        <v>169</v>
      </c>
      <c r="O18" s="36" t="s">
        <v>30</v>
      </c>
      <c r="P18" s="36" t="s">
        <v>254</v>
      </c>
      <c r="Q18" s="27" t="s">
        <v>256</v>
      </c>
      <c r="R18" s="27" t="s">
        <v>257</v>
      </c>
      <c r="S18" s="27" t="s">
        <v>258</v>
      </c>
      <c r="T18" s="27" t="s">
        <v>259</v>
      </c>
      <c r="U18" s="37" t="s">
        <v>74</v>
      </c>
      <c r="V18" s="27" t="s">
        <v>252</v>
      </c>
    </row>
    <row r="19" spans="1:22" ht="25.5" customHeight="1" x14ac:dyDescent="0.25">
      <c r="A19" s="24" t="s">
        <v>160</v>
      </c>
      <c r="B19" s="25" t="s">
        <v>77</v>
      </c>
      <c r="C19" s="24" t="s">
        <v>260</v>
      </c>
      <c r="D19" s="25">
        <v>3</v>
      </c>
      <c r="E19" s="24" t="s">
        <v>163</v>
      </c>
      <c r="F19" s="24" t="s">
        <v>185</v>
      </c>
      <c r="G19" s="24" t="s">
        <v>261</v>
      </c>
      <c r="H19" s="24" t="s">
        <v>262</v>
      </c>
      <c r="I19" s="24" t="s">
        <v>188</v>
      </c>
      <c r="J19" s="26" t="s">
        <v>168</v>
      </c>
      <c r="K19" s="26" t="s">
        <v>168</v>
      </c>
      <c r="L19" s="26" t="s">
        <v>168</v>
      </c>
      <c r="M19" s="24" t="s">
        <v>169</v>
      </c>
      <c r="N19" s="25" t="s">
        <v>169</v>
      </c>
      <c r="O19" s="29" t="s">
        <v>29</v>
      </c>
      <c r="P19" s="26" t="s">
        <v>168</v>
      </c>
      <c r="Q19" s="24" t="s">
        <v>180</v>
      </c>
      <c r="R19" s="24" t="s">
        <v>181</v>
      </c>
      <c r="S19" s="24" t="s">
        <v>217</v>
      </c>
      <c r="T19" s="24" t="s">
        <v>183</v>
      </c>
      <c r="U19" s="32" t="s">
        <v>168</v>
      </c>
      <c r="V19" s="24" t="s">
        <v>174</v>
      </c>
    </row>
    <row r="20" spans="1:22" ht="25.5" customHeight="1" x14ac:dyDescent="0.25">
      <c r="A20" s="27" t="s">
        <v>160</v>
      </c>
      <c r="B20" s="28" t="s">
        <v>77</v>
      </c>
      <c r="C20" s="27" t="s">
        <v>263</v>
      </c>
      <c r="D20" s="28">
        <v>3</v>
      </c>
      <c r="E20" s="27" t="s">
        <v>163</v>
      </c>
      <c r="F20" s="27" t="s">
        <v>185</v>
      </c>
      <c r="G20" s="27" t="s">
        <v>264</v>
      </c>
      <c r="H20" s="27" t="s">
        <v>265</v>
      </c>
      <c r="I20" s="27" t="s">
        <v>188</v>
      </c>
      <c r="J20" s="26" t="s">
        <v>168</v>
      </c>
      <c r="K20" s="26" t="s">
        <v>168</v>
      </c>
      <c r="L20" s="26" t="s">
        <v>168</v>
      </c>
      <c r="M20" s="27" t="s">
        <v>169</v>
      </c>
      <c r="N20" s="28" t="s">
        <v>169</v>
      </c>
      <c r="O20" s="29" t="s">
        <v>29</v>
      </c>
      <c r="P20" s="33" t="s">
        <v>74</v>
      </c>
      <c r="Q20" s="27" t="s">
        <v>266</v>
      </c>
      <c r="R20" s="27" t="s">
        <v>195</v>
      </c>
      <c r="S20" s="27" t="s">
        <v>267</v>
      </c>
      <c r="T20" s="27" t="s">
        <v>183</v>
      </c>
      <c r="U20" s="31" t="s">
        <v>168</v>
      </c>
      <c r="V20" s="27" t="s">
        <v>174</v>
      </c>
    </row>
    <row r="21" spans="1:22" ht="38.25" customHeight="1" x14ac:dyDescent="0.25">
      <c r="A21" s="24" t="s">
        <v>160</v>
      </c>
      <c r="B21" s="25" t="s">
        <v>77</v>
      </c>
      <c r="C21" s="24" t="s">
        <v>268</v>
      </c>
      <c r="D21" s="25">
        <v>3</v>
      </c>
      <c r="E21" s="24" t="s">
        <v>163</v>
      </c>
      <c r="F21" s="24" t="s">
        <v>269</v>
      </c>
      <c r="G21" s="24" t="s">
        <v>270</v>
      </c>
      <c r="H21" s="24" t="s">
        <v>271</v>
      </c>
      <c r="I21" s="24" t="s">
        <v>272</v>
      </c>
      <c r="J21" s="26" t="s">
        <v>168</v>
      </c>
      <c r="K21" s="26" t="s">
        <v>168</v>
      </c>
      <c r="L21" s="26" t="s">
        <v>168</v>
      </c>
      <c r="M21" s="24" t="s">
        <v>169</v>
      </c>
      <c r="N21" s="25" t="s">
        <v>169</v>
      </c>
      <c r="O21" s="29" t="s">
        <v>29</v>
      </c>
      <c r="P21" s="33" t="s">
        <v>74</v>
      </c>
      <c r="Q21" s="24" t="s">
        <v>273</v>
      </c>
      <c r="R21" s="24" t="s">
        <v>274</v>
      </c>
      <c r="S21" s="24" t="s">
        <v>275</v>
      </c>
      <c r="T21" s="24" t="s">
        <v>173</v>
      </c>
      <c r="U21" s="32" t="s">
        <v>168</v>
      </c>
      <c r="V21" s="24" t="s">
        <v>174</v>
      </c>
    </row>
    <row r="22" spans="1:22" ht="38.25" customHeight="1" x14ac:dyDescent="0.25">
      <c r="A22" s="27" t="s">
        <v>160</v>
      </c>
      <c r="B22" s="28" t="s">
        <v>77</v>
      </c>
      <c r="C22" s="27" t="s">
        <v>276</v>
      </c>
      <c r="D22" s="28">
        <v>2</v>
      </c>
      <c r="E22" s="27" t="s">
        <v>163</v>
      </c>
      <c r="F22" s="27" t="s">
        <v>277</v>
      </c>
      <c r="G22" s="27" t="s">
        <v>278</v>
      </c>
      <c r="H22" s="27" t="s">
        <v>279</v>
      </c>
      <c r="I22" s="27" t="s">
        <v>280</v>
      </c>
      <c r="J22" s="26" t="s">
        <v>168</v>
      </c>
      <c r="K22" s="34" t="s">
        <v>53</v>
      </c>
      <c r="L22" s="26" t="s">
        <v>168</v>
      </c>
      <c r="M22" s="27"/>
      <c r="N22" s="25" t="s">
        <v>169</v>
      </c>
      <c r="O22" s="29" t="s">
        <v>29</v>
      </c>
      <c r="P22" s="33" t="s">
        <v>74</v>
      </c>
      <c r="Q22" s="27" t="s">
        <v>170</v>
      </c>
      <c r="R22" s="27" t="s">
        <v>22</v>
      </c>
      <c r="S22" s="27" t="s">
        <v>281</v>
      </c>
      <c r="T22" s="27" t="s">
        <v>248</v>
      </c>
      <c r="U22" s="37" t="s">
        <v>74</v>
      </c>
      <c r="V22" s="27" t="s">
        <v>174</v>
      </c>
    </row>
    <row r="23" spans="1:22" ht="38.25" customHeight="1" x14ac:dyDescent="0.25">
      <c r="A23" s="24" t="s">
        <v>160</v>
      </c>
      <c r="B23" s="25" t="s">
        <v>77</v>
      </c>
      <c r="C23" s="24" t="s">
        <v>282</v>
      </c>
      <c r="D23" s="25">
        <v>3</v>
      </c>
      <c r="E23" s="24" t="s">
        <v>238</v>
      </c>
      <c r="F23" s="24" t="s">
        <v>283</v>
      </c>
      <c r="G23" s="24" t="s">
        <v>284</v>
      </c>
      <c r="H23" s="24" t="s">
        <v>285</v>
      </c>
      <c r="I23" s="24" t="s">
        <v>286</v>
      </c>
      <c r="J23" s="26" t="s">
        <v>168</v>
      </c>
      <c r="K23" s="26" t="s">
        <v>168</v>
      </c>
      <c r="L23" s="26" t="s">
        <v>168</v>
      </c>
      <c r="M23" s="27"/>
      <c r="N23" s="25" t="s">
        <v>169</v>
      </c>
      <c r="O23" s="29" t="s">
        <v>29</v>
      </c>
      <c r="P23" s="26" t="s">
        <v>168</v>
      </c>
      <c r="Q23" s="24" t="s">
        <v>170</v>
      </c>
      <c r="R23" s="24" t="s">
        <v>287</v>
      </c>
      <c r="S23" s="24" t="s">
        <v>288</v>
      </c>
      <c r="T23" s="24" t="s">
        <v>248</v>
      </c>
      <c r="U23" s="30" t="s">
        <v>74</v>
      </c>
      <c r="V23" s="24" t="s">
        <v>174</v>
      </c>
    </row>
    <row r="24" spans="1:22" ht="51" customHeight="1" x14ac:dyDescent="0.25">
      <c r="A24" s="27" t="s">
        <v>160</v>
      </c>
      <c r="B24" s="28" t="s">
        <v>77</v>
      </c>
      <c r="C24" s="27" t="s">
        <v>289</v>
      </c>
      <c r="D24" s="28">
        <v>2</v>
      </c>
      <c r="E24" s="27" t="s">
        <v>238</v>
      </c>
      <c r="F24" s="27" t="s">
        <v>290</v>
      </c>
      <c r="G24" s="27" t="s">
        <v>291</v>
      </c>
      <c r="H24" s="27" t="s">
        <v>292</v>
      </c>
      <c r="I24" s="27" t="s">
        <v>293</v>
      </c>
      <c r="J24" s="26" t="s">
        <v>168</v>
      </c>
      <c r="K24" s="26" t="s">
        <v>168</v>
      </c>
      <c r="L24" s="26" t="s">
        <v>168</v>
      </c>
      <c r="M24" s="27" t="s">
        <v>294</v>
      </c>
      <c r="N24" s="28" t="s">
        <v>295</v>
      </c>
      <c r="O24" s="34" t="s">
        <v>27</v>
      </c>
      <c r="P24" s="33" t="s">
        <v>74</v>
      </c>
      <c r="Q24" s="27" t="s">
        <v>245</v>
      </c>
      <c r="R24" s="27" t="s">
        <v>296</v>
      </c>
      <c r="S24" s="27" t="s">
        <v>297</v>
      </c>
      <c r="T24" s="27" t="s">
        <v>298</v>
      </c>
      <c r="U24" s="38" t="s">
        <v>53</v>
      </c>
      <c r="V24" s="27" t="s">
        <v>174</v>
      </c>
    </row>
    <row r="25" spans="1:22" ht="25.5" customHeight="1" x14ac:dyDescent="0.25">
      <c r="A25" s="24" t="s">
        <v>160</v>
      </c>
      <c r="B25" s="25" t="s">
        <v>77</v>
      </c>
      <c r="C25" s="24" t="s">
        <v>299</v>
      </c>
      <c r="D25" s="25">
        <v>2</v>
      </c>
      <c r="E25" s="24" t="s">
        <v>250</v>
      </c>
      <c r="F25" s="24" t="s">
        <v>251</v>
      </c>
      <c r="G25" s="24" t="s">
        <v>252</v>
      </c>
      <c r="H25" s="24" t="s">
        <v>252</v>
      </c>
      <c r="I25" s="24" t="s">
        <v>253</v>
      </c>
      <c r="J25" s="36" t="s">
        <v>254</v>
      </c>
      <c r="K25" s="36" t="s">
        <v>254</v>
      </c>
      <c r="L25" s="36" t="s">
        <v>254</v>
      </c>
      <c r="M25" s="24" t="s">
        <v>255</v>
      </c>
      <c r="N25" s="25" t="s">
        <v>169</v>
      </c>
      <c r="O25" s="36" t="s">
        <v>30</v>
      </c>
      <c r="P25" s="36" t="s">
        <v>254</v>
      </c>
      <c r="Q25" s="24" t="s">
        <v>256</v>
      </c>
      <c r="R25" s="24" t="s">
        <v>257</v>
      </c>
      <c r="S25" s="24" t="s">
        <v>300</v>
      </c>
      <c r="T25" s="24" t="s">
        <v>259</v>
      </c>
      <c r="U25" s="30" t="s">
        <v>74</v>
      </c>
      <c r="V25" s="24" t="s">
        <v>252</v>
      </c>
    </row>
    <row r="26" spans="1:22" ht="25.5" customHeight="1" x14ac:dyDescent="0.25">
      <c r="A26" s="27" t="s">
        <v>160</v>
      </c>
      <c r="B26" s="28" t="s">
        <v>54</v>
      </c>
      <c r="C26" s="27" t="s">
        <v>301</v>
      </c>
      <c r="D26" s="28">
        <v>3</v>
      </c>
      <c r="E26" s="27" t="s">
        <v>163</v>
      </c>
      <c r="F26" s="27" t="s">
        <v>185</v>
      </c>
      <c r="G26" s="27" t="s">
        <v>302</v>
      </c>
      <c r="H26" s="27" t="s">
        <v>303</v>
      </c>
      <c r="I26" s="27" t="s">
        <v>188</v>
      </c>
      <c r="J26" s="26" t="s">
        <v>168</v>
      </c>
      <c r="K26" s="26" t="s">
        <v>168</v>
      </c>
      <c r="L26" s="26" t="s">
        <v>168</v>
      </c>
      <c r="M26" s="27" t="s">
        <v>169</v>
      </c>
      <c r="N26" s="28" t="s">
        <v>169</v>
      </c>
      <c r="O26" s="29" t="s">
        <v>29</v>
      </c>
      <c r="P26" s="26" t="s">
        <v>168</v>
      </c>
      <c r="Q26" s="27" t="s">
        <v>180</v>
      </c>
      <c r="R26" s="27" t="s">
        <v>181</v>
      </c>
      <c r="S26" s="27" t="s">
        <v>217</v>
      </c>
      <c r="T26" s="27" t="s">
        <v>183</v>
      </c>
      <c r="U26" s="31" t="s">
        <v>168</v>
      </c>
      <c r="V26" s="27" t="s">
        <v>174</v>
      </c>
    </row>
    <row r="27" spans="1:22" ht="25.5" customHeight="1" x14ac:dyDescent="0.25">
      <c r="A27" s="24" t="s">
        <v>160</v>
      </c>
      <c r="B27" s="25" t="s">
        <v>54</v>
      </c>
      <c r="C27" s="24" t="s">
        <v>304</v>
      </c>
      <c r="D27" s="25">
        <v>3</v>
      </c>
      <c r="E27" s="24" t="s">
        <v>163</v>
      </c>
      <c r="F27" s="24" t="s">
        <v>176</v>
      </c>
      <c r="G27" s="24" t="s">
        <v>305</v>
      </c>
      <c r="H27" s="24" t="s">
        <v>306</v>
      </c>
      <c r="I27" s="24" t="s">
        <v>307</v>
      </c>
      <c r="J27" s="26" t="s">
        <v>168</v>
      </c>
      <c r="K27" s="26" t="s">
        <v>168</v>
      </c>
      <c r="L27" s="26" t="s">
        <v>168</v>
      </c>
      <c r="M27" s="24" t="s">
        <v>169</v>
      </c>
      <c r="N27" s="25" t="s">
        <v>169</v>
      </c>
      <c r="O27" s="29" t="s">
        <v>29</v>
      </c>
      <c r="P27" s="26" t="s">
        <v>168</v>
      </c>
      <c r="Q27" s="24" t="s">
        <v>180</v>
      </c>
      <c r="R27" s="24" t="s">
        <v>181</v>
      </c>
      <c r="S27" s="24" t="s">
        <v>308</v>
      </c>
      <c r="T27" s="24" t="s">
        <v>183</v>
      </c>
      <c r="U27" s="32" t="s">
        <v>168</v>
      </c>
      <c r="V27" s="24" t="s">
        <v>174</v>
      </c>
    </row>
    <row r="28" spans="1:22" ht="76.5" customHeight="1" x14ac:dyDescent="0.25">
      <c r="A28" s="27" t="s">
        <v>160</v>
      </c>
      <c r="B28" s="28" t="s">
        <v>54</v>
      </c>
      <c r="C28" s="27" t="s">
        <v>55</v>
      </c>
      <c r="D28" s="28">
        <v>3</v>
      </c>
      <c r="E28" s="27" t="s">
        <v>238</v>
      </c>
      <c r="F28" s="27" t="s">
        <v>309</v>
      </c>
      <c r="G28" s="27" t="s">
        <v>310</v>
      </c>
      <c r="H28" s="27" t="s">
        <v>311</v>
      </c>
      <c r="I28" s="27" t="s">
        <v>312</v>
      </c>
      <c r="J28" s="34" t="s">
        <v>53</v>
      </c>
      <c r="K28" s="26" t="s">
        <v>168</v>
      </c>
      <c r="L28" s="26" t="s">
        <v>168</v>
      </c>
      <c r="M28" s="24" t="s">
        <v>313</v>
      </c>
      <c r="N28" s="25" t="s">
        <v>314</v>
      </c>
      <c r="O28" s="29" t="s">
        <v>27</v>
      </c>
      <c r="P28" s="33" t="s">
        <v>74</v>
      </c>
      <c r="Q28" s="27" t="s">
        <v>245</v>
      </c>
      <c r="R28" s="27" t="s">
        <v>315</v>
      </c>
      <c r="S28" s="27" t="s">
        <v>316</v>
      </c>
      <c r="T28" s="27" t="s">
        <v>298</v>
      </c>
      <c r="U28" s="38" t="s">
        <v>53</v>
      </c>
      <c r="V28" s="27" t="s">
        <v>174</v>
      </c>
    </row>
    <row r="29" spans="1:22" ht="38.25" customHeight="1" x14ac:dyDescent="0.25">
      <c r="A29" s="24" t="s">
        <v>160</v>
      </c>
      <c r="B29" s="25" t="s">
        <v>54</v>
      </c>
      <c r="C29" s="24" t="s">
        <v>317</v>
      </c>
      <c r="D29" s="25">
        <v>3</v>
      </c>
      <c r="E29" s="24" t="s">
        <v>238</v>
      </c>
      <c r="F29" s="24" t="s">
        <v>318</v>
      </c>
      <c r="G29" s="24" t="s">
        <v>319</v>
      </c>
      <c r="H29" s="24" t="s">
        <v>320</v>
      </c>
      <c r="I29" s="24" t="s">
        <v>321</v>
      </c>
      <c r="J29" s="26" t="s">
        <v>168</v>
      </c>
      <c r="K29" s="26" t="s">
        <v>168</v>
      </c>
      <c r="L29" s="26" t="s">
        <v>168</v>
      </c>
      <c r="M29" s="24" t="s">
        <v>169</v>
      </c>
      <c r="N29" s="25" t="s">
        <v>169</v>
      </c>
      <c r="O29" s="29" t="s">
        <v>29</v>
      </c>
      <c r="P29" s="34" t="s">
        <v>53</v>
      </c>
      <c r="Q29" s="24" t="s">
        <v>322</v>
      </c>
      <c r="R29" s="24" t="s">
        <v>323</v>
      </c>
      <c r="S29" s="24" t="s">
        <v>324</v>
      </c>
      <c r="T29" s="24" t="s">
        <v>325</v>
      </c>
      <c r="U29" s="30" t="s">
        <v>74</v>
      </c>
      <c r="V29" s="24" t="s">
        <v>174</v>
      </c>
    </row>
    <row r="30" spans="1:22" ht="25.5" customHeight="1" x14ac:dyDescent="0.25">
      <c r="A30" s="27" t="s">
        <v>160</v>
      </c>
      <c r="B30" s="28" t="s">
        <v>54</v>
      </c>
      <c r="C30" s="27" t="s">
        <v>326</v>
      </c>
      <c r="D30" s="28">
        <v>3</v>
      </c>
      <c r="E30" s="27" t="s">
        <v>238</v>
      </c>
      <c r="F30" s="27" t="s">
        <v>327</v>
      </c>
      <c r="G30" s="27" t="s">
        <v>328</v>
      </c>
      <c r="H30" s="27" t="s">
        <v>329</v>
      </c>
      <c r="I30" s="27" t="s">
        <v>330</v>
      </c>
      <c r="J30" s="26" t="s">
        <v>168</v>
      </c>
      <c r="K30" s="26" t="s">
        <v>168</v>
      </c>
      <c r="L30" s="26" t="s">
        <v>168</v>
      </c>
      <c r="M30" s="27" t="s">
        <v>169</v>
      </c>
      <c r="N30" s="28" t="s">
        <v>169</v>
      </c>
      <c r="O30" s="29" t="s">
        <v>29</v>
      </c>
      <c r="P30" s="34" t="s">
        <v>53</v>
      </c>
      <c r="Q30" s="27" t="s">
        <v>331</v>
      </c>
      <c r="R30" s="27" t="s">
        <v>332</v>
      </c>
      <c r="S30" s="27" t="s">
        <v>333</v>
      </c>
      <c r="T30" s="27" t="s">
        <v>325</v>
      </c>
      <c r="U30" s="37" t="s">
        <v>74</v>
      </c>
      <c r="V30" s="27" t="s">
        <v>174</v>
      </c>
    </row>
    <row r="31" spans="1:22" ht="38.25" customHeight="1" x14ac:dyDescent="0.25">
      <c r="A31" s="24" t="s">
        <v>160</v>
      </c>
      <c r="B31" s="25" t="s">
        <v>54</v>
      </c>
      <c r="C31" s="24" t="s">
        <v>334</v>
      </c>
      <c r="D31" s="25">
        <v>3</v>
      </c>
      <c r="E31" s="24" t="s">
        <v>238</v>
      </c>
      <c r="F31" s="24" t="s">
        <v>239</v>
      </c>
      <c r="G31" s="24" t="s">
        <v>335</v>
      </c>
      <c r="H31" s="24" t="s">
        <v>336</v>
      </c>
      <c r="I31" s="24" t="s">
        <v>337</v>
      </c>
      <c r="J31" s="26" t="s">
        <v>168</v>
      </c>
      <c r="K31" s="26" t="s">
        <v>168</v>
      </c>
      <c r="L31" s="26" t="s">
        <v>168</v>
      </c>
      <c r="M31" s="27" t="s">
        <v>169</v>
      </c>
      <c r="N31" s="28" t="s">
        <v>169</v>
      </c>
      <c r="O31" s="33" t="s">
        <v>28</v>
      </c>
      <c r="P31" s="33" t="s">
        <v>74</v>
      </c>
      <c r="Q31" s="24" t="s">
        <v>170</v>
      </c>
      <c r="R31" s="24" t="s">
        <v>338</v>
      </c>
      <c r="S31" s="24" t="s">
        <v>339</v>
      </c>
      <c r="T31" s="24" t="s">
        <v>248</v>
      </c>
      <c r="U31" s="35" t="s">
        <v>53</v>
      </c>
      <c r="V31" s="24" t="s">
        <v>174</v>
      </c>
    </row>
    <row r="32" spans="1:22" ht="38.25" customHeight="1" x14ac:dyDescent="0.25">
      <c r="A32" s="27" t="s">
        <v>160</v>
      </c>
      <c r="B32" s="28" t="s">
        <v>58</v>
      </c>
      <c r="C32" s="27" t="s">
        <v>340</v>
      </c>
      <c r="D32" s="28">
        <v>3</v>
      </c>
      <c r="E32" s="27" t="s">
        <v>238</v>
      </c>
      <c r="F32" s="27" t="s">
        <v>269</v>
      </c>
      <c r="G32" s="27" t="s">
        <v>341</v>
      </c>
      <c r="H32" s="27" t="s">
        <v>342</v>
      </c>
      <c r="I32" s="27" t="s">
        <v>343</v>
      </c>
      <c r="J32" s="26" t="s">
        <v>168</v>
      </c>
      <c r="K32" s="26" t="s">
        <v>168</v>
      </c>
      <c r="L32" s="26" t="s">
        <v>168</v>
      </c>
      <c r="M32" s="27" t="s">
        <v>169</v>
      </c>
      <c r="N32" s="28" t="s">
        <v>169</v>
      </c>
      <c r="O32" s="29" t="s">
        <v>29</v>
      </c>
      <c r="P32" s="34" t="s">
        <v>53</v>
      </c>
      <c r="Q32" s="27" t="s">
        <v>344</v>
      </c>
      <c r="R32" s="27" t="s">
        <v>345</v>
      </c>
      <c r="S32" s="27" t="s">
        <v>346</v>
      </c>
      <c r="T32" s="27" t="s">
        <v>173</v>
      </c>
      <c r="U32" s="37" t="s">
        <v>74</v>
      </c>
      <c r="V32" s="27" t="s">
        <v>174</v>
      </c>
    </row>
    <row r="33" spans="1:22" ht="63.75" customHeight="1" x14ac:dyDescent="0.25">
      <c r="A33" s="24" t="s">
        <v>160</v>
      </c>
      <c r="B33" s="25" t="s">
        <v>58</v>
      </c>
      <c r="C33" s="24" t="s">
        <v>347</v>
      </c>
      <c r="D33" s="25">
        <v>2</v>
      </c>
      <c r="E33" s="24" t="s">
        <v>238</v>
      </c>
      <c r="F33" s="24" t="s">
        <v>348</v>
      </c>
      <c r="G33" s="24" t="s">
        <v>349</v>
      </c>
      <c r="H33" s="24" t="s">
        <v>350</v>
      </c>
      <c r="I33" s="24" t="s">
        <v>351</v>
      </c>
      <c r="J33" s="26" t="s">
        <v>168</v>
      </c>
      <c r="K33" s="26" t="s">
        <v>168</v>
      </c>
      <c r="L33" s="26" t="s">
        <v>168</v>
      </c>
      <c r="M33" s="27" t="s">
        <v>169</v>
      </c>
      <c r="N33" s="28" t="s">
        <v>169</v>
      </c>
      <c r="O33" s="29" t="s">
        <v>29</v>
      </c>
      <c r="P33" s="34" t="s">
        <v>53</v>
      </c>
      <c r="Q33" s="24" t="s">
        <v>352</v>
      </c>
      <c r="R33" s="24" t="s">
        <v>353</v>
      </c>
      <c r="S33" s="24" t="s">
        <v>354</v>
      </c>
      <c r="T33" s="24" t="s">
        <v>248</v>
      </c>
      <c r="U33" s="30" t="s">
        <v>74</v>
      </c>
      <c r="V33" s="24" t="s">
        <v>174</v>
      </c>
    </row>
    <row r="34" spans="1:22" ht="63.75" customHeight="1" x14ac:dyDescent="0.25">
      <c r="A34" s="27" t="s">
        <v>160</v>
      </c>
      <c r="B34" s="28" t="s">
        <v>58</v>
      </c>
      <c r="C34" s="27" t="s">
        <v>70</v>
      </c>
      <c r="D34" s="28">
        <v>3</v>
      </c>
      <c r="E34" s="27" t="s">
        <v>238</v>
      </c>
      <c r="F34" s="27" t="s">
        <v>355</v>
      </c>
      <c r="G34" s="27" t="s">
        <v>356</v>
      </c>
      <c r="H34" s="27" t="s">
        <v>357</v>
      </c>
      <c r="I34" s="27" t="s">
        <v>358</v>
      </c>
      <c r="J34" s="26" t="s">
        <v>168</v>
      </c>
      <c r="K34" s="26" t="s">
        <v>168</v>
      </c>
      <c r="L34" s="26" t="s">
        <v>168</v>
      </c>
      <c r="M34" s="27" t="s">
        <v>169</v>
      </c>
      <c r="N34" s="28" t="s">
        <v>169</v>
      </c>
      <c r="O34" s="29" t="s">
        <v>29</v>
      </c>
      <c r="P34" s="33" t="s">
        <v>74</v>
      </c>
      <c r="Q34" s="27" t="s">
        <v>245</v>
      </c>
      <c r="R34" s="27" t="s">
        <v>359</v>
      </c>
      <c r="S34" s="27" t="s">
        <v>360</v>
      </c>
      <c r="T34" s="27" t="s">
        <v>298</v>
      </c>
      <c r="U34" s="38" t="s">
        <v>53</v>
      </c>
      <c r="V34" s="27" t="s">
        <v>174</v>
      </c>
    </row>
    <row r="35" spans="1:22" ht="25.5" customHeight="1" x14ac:dyDescent="0.25">
      <c r="A35" s="24" t="s">
        <v>160</v>
      </c>
      <c r="B35" s="25" t="s">
        <v>58</v>
      </c>
      <c r="C35" s="24" t="s">
        <v>361</v>
      </c>
      <c r="D35" s="25">
        <v>3</v>
      </c>
      <c r="E35" s="24" t="s">
        <v>238</v>
      </c>
      <c r="F35" s="24" t="s">
        <v>327</v>
      </c>
      <c r="G35" s="24" t="s">
        <v>362</v>
      </c>
      <c r="H35" s="24" t="s">
        <v>363</v>
      </c>
      <c r="I35" s="24" t="s">
        <v>364</v>
      </c>
      <c r="J35" s="26" t="s">
        <v>168</v>
      </c>
      <c r="K35" s="26" t="s">
        <v>168</v>
      </c>
      <c r="L35" s="26" t="s">
        <v>168</v>
      </c>
      <c r="M35" s="24" t="s">
        <v>169</v>
      </c>
      <c r="N35" s="25" t="s">
        <v>169</v>
      </c>
      <c r="O35" s="29" t="s">
        <v>29</v>
      </c>
      <c r="P35" s="34" t="s">
        <v>53</v>
      </c>
      <c r="Q35" s="24" t="s">
        <v>365</v>
      </c>
      <c r="R35" s="24" t="s">
        <v>366</v>
      </c>
      <c r="S35" s="24" t="s">
        <v>367</v>
      </c>
      <c r="T35" s="24" t="s">
        <v>325</v>
      </c>
      <c r="U35" s="30" t="s">
        <v>74</v>
      </c>
      <c r="V35" s="24" t="s">
        <v>174</v>
      </c>
    </row>
    <row r="36" spans="1:22" ht="38.25" customHeight="1" x14ac:dyDescent="0.25">
      <c r="A36" s="27" t="s">
        <v>160</v>
      </c>
      <c r="B36" s="28" t="s">
        <v>58</v>
      </c>
      <c r="C36" s="27" t="s">
        <v>76</v>
      </c>
      <c r="D36" s="28">
        <v>3</v>
      </c>
      <c r="E36" s="27" t="s">
        <v>238</v>
      </c>
      <c r="F36" s="27" t="s">
        <v>368</v>
      </c>
      <c r="G36" s="27" t="s">
        <v>369</v>
      </c>
      <c r="H36" s="27" t="s">
        <v>370</v>
      </c>
      <c r="I36" s="27" t="s">
        <v>371</v>
      </c>
      <c r="J36" s="26" t="s">
        <v>168</v>
      </c>
      <c r="K36" s="26" t="s">
        <v>168</v>
      </c>
      <c r="L36" s="26" t="s">
        <v>168</v>
      </c>
      <c r="M36" s="24" t="s">
        <v>169</v>
      </c>
      <c r="N36" s="25" t="s">
        <v>169</v>
      </c>
      <c r="O36" s="29" t="s">
        <v>29</v>
      </c>
      <c r="P36" s="33" t="s">
        <v>74</v>
      </c>
      <c r="Q36" s="27" t="s">
        <v>170</v>
      </c>
      <c r="R36" s="27" t="s">
        <v>372</v>
      </c>
      <c r="S36" s="27" t="s">
        <v>373</v>
      </c>
      <c r="T36" s="27" t="s">
        <v>298</v>
      </c>
      <c r="U36" s="38" t="s">
        <v>53</v>
      </c>
      <c r="V36" s="27" t="s">
        <v>174</v>
      </c>
    </row>
    <row r="37" spans="1:22" ht="76.5" customHeight="1" x14ac:dyDescent="0.25">
      <c r="A37" s="24" t="s">
        <v>160</v>
      </c>
      <c r="B37" s="25" t="s">
        <v>58</v>
      </c>
      <c r="C37" s="24" t="s">
        <v>65</v>
      </c>
      <c r="D37" s="25">
        <v>2</v>
      </c>
      <c r="E37" s="24" t="s">
        <v>202</v>
      </c>
      <c r="F37" s="24" t="s">
        <v>203</v>
      </c>
      <c r="G37" s="24" t="s">
        <v>374</v>
      </c>
      <c r="H37" s="24" t="s">
        <v>375</v>
      </c>
      <c r="I37" s="24" t="s">
        <v>376</v>
      </c>
      <c r="J37" s="26" t="s">
        <v>168</v>
      </c>
      <c r="K37" s="26" t="s">
        <v>168</v>
      </c>
      <c r="L37" s="26" t="s">
        <v>168</v>
      </c>
      <c r="M37" s="24" t="s">
        <v>377</v>
      </c>
      <c r="N37" s="25" t="s">
        <v>378</v>
      </c>
      <c r="O37" s="34" t="s">
        <v>27</v>
      </c>
      <c r="P37" s="33" t="s">
        <v>74</v>
      </c>
      <c r="Q37" s="24" t="s">
        <v>379</v>
      </c>
      <c r="R37" s="24" t="s">
        <v>66</v>
      </c>
      <c r="S37" s="24" t="s">
        <v>380</v>
      </c>
      <c r="T37" s="24" t="s">
        <v>173</v>
      </c>
      <c r="U37" s="35" t="s">
        <v>53</v>
      </c>
      <c r="V37" s="24" t="s">
        <v>174</v>
      </c>
    </row>
    <row r="38" spans="1:22" ht="25.5" customHeight="1" x14ac:dyDescent="0.25">
      <c r="A38" s="27" t="s">
        <v>160</v>
      </c>
      <c r="B38" s="28" t="s">
        <v>58</v>
      </c>
      <c r="C38" s="27" t="s">
        <v>381</v>
      </c>
      <c r="D38" s="28">
        <v>2</v>
      </c>
      <c r="E38" s="27" t="s">
        <v>250</v>
      </c>
      <c r="F38" s="27" t="s">
        <v>251</v>
      </c>
      <c r="G38" s="27" t="s">
        <v>252</v>
      </c>
      <c r="H38" s="27" t="s">
        <v>252</v>
      </c>
      <c r="I38" s="27" t="s">
        <v>253</v>
      </c>
      <c r="J38" s="36" t="s">
        <v>254</v>
      </c>
      <c r="K38" s="36" t="s">
        <v>254</v>
      </c>
      <c r="L38" s="36" t="s">
        <v>254</v>
      </c>
      <c r="M38" s="27" t="s">
        <v>255</v>
      </c>
      <c r="N38" s="28" t="s">
        <v>169</v>
      </c>
      <c r="O38" s="36" t="s">
        <v>30</v>
      </c>
      <c r="P38" s="36" t="s">
        <v>254</v>
      </c>
      <c r="Q38" s="27" t="s">
        <v>256</v>
      </c>
      <c r="R38" s="27" t="s">
        <v>257</v>
      </c>
      <c r="S38" s="27" t="s">
        <v>300</v>
      </c>
      <c r="T38" s="27" t="s">
        <v>259</v>
      </c>
      <c r="U38" s="37" t="s">
        <v>74</v>
      </c>
      <c r="V38" s="27" t="s">
        <v>252</v>
      </c>
    </row>
    <row r="39" spans="1:22" ht="63.75" customHeight="1" x14ac:dyDescent="0.25">
      <c r="A39" s="24" t="s">
        <v>160</v>
      </c>
      <c r="B39" s="25" t="s">
        <v>61</v>
      </c>
      <c r="C39" s="24" t="s">
        <v>62</v>
      </c>
      <c r="D39" s="25">
        <v>3</v>
      </c>
      <c r="E39" s="24" t="s">
        <v>238</v>
      </c>
      <c r="F39" s="24" t="s">
        <v>239</v>
      </c>
      <c r="G39" s="24" t="s">
        <v>382</v>
      </c>
      <c r="H39" s="24" t="s">
        <v>383</v>
      </c>
      <c r="I39" s="24" t="s">
        <v>384</v>
      </c>
      <c r="J39" s="26" t="s">
        <v>168</v>
      </c>
      <c r="K39" s="26" t="s">
        <v>168</v>
      </c>
      <c r="L39" s="26" t="s">
        <v>168</v>
      </c>
      <c r="M39" s="24" t="s">
        <v>385</v>
      </c>
      <c r="N39" s="25" t="s">
        <v>378</v>
      </c>
      <c r="O39" s="34" t="s">
        <v>27</v>
      </c>
      <c r="P39" s="33" t="s">
        <v>74</v>
      </c>
      <c r="Q39" s="24" t="s">
        <v>245</v>
      </c>
      <c r="R39" s="24" t="s">
        <v>386</v>
      </c>
      <c r="S39" s="24" t="s">
        <v>387</v>
      </c>
      <c r="T39" s="24" t="s">
        <v>298</v>
      </c>
      <c r="U39" s="35" t="s">
        <v>53</v>
      </c>
      <c r="V39" s="24" t="s">
        <v>174</v>
      </c>
    </row>
    <row r="40" spans="1:22" ht="38.25" customHeight="1" x14ac:dyDescent="0.25">
      <c r="A40" s="27" t="s">
        <v>160</v>
      </c>
      <c r="B40" s="28" t="s">
        <v>61</v>
      </c>
      <c r="C40" s="27" t="s">
        <v>388</v>
      </c>
      <c r="D40" s="28">
        <v>3</v>
      </c>
      <c r="E40" s="27" t="s">
        <v>238</v>
      </c>
      <c r="F40" s="27" t="s">
        <v>269</v>
      </c>
      <c r="G40" s="27" t="s">
        <v>389</v>
      </c>
      <c r="H40" s="27" t="s">
        <v>390</v>
      </c>
      <c r="I40" s="27" t="s">
        <v>391</v>
      </c>
      <c r="J40" s="26" t="s">
        <v>168</v>
      </c>
      <c r="K40" s="26" t="s">
        <v>168</v>
      </c>
      <c r="L40" s="26" t="s">
        <v>168</v>
      </c>
      <c r="M40" s="27" t="s">
        <v>169</v>
      </c>
      <c r="N40" s="28" t="s">
        <v>169</v>
      </c>
      <c r="O40" s="29" t="s">
        <v>29</v>
      </c>
      <c r="P40" s="34" t="s">
        <v>53</v>
      </c>
      <c r="Q40" s="27" t="s">
        <v>392</v>
      </c>
      <c r="R40" s="27" t="s">
        <v>23</v>
      </c>
      <c r="S40" s="27" t="s">
        <v>393</v>
      </c>
      <c r="T40" s="27" t="s">
        <v>248</v>
      </c>
      <c r="U40" s="38" t="s">
        <v>53</v>
      </c>
      <c r="V40" s="27" t="s">
        <v>174</v>
      </c>
    </row>
    <row r="41" spans="1:22" ht="51" customHeight="1" x14ac:dyDescent="0.25">
      <c r="A41" s="24" t="s">
        <v>160</v>
      </c>
      <c r="B41" s="25" t="s">
        <v>61</v>
      </c>
      <c r="C41" s="24" t="s">
        <v>394</v>
      </c>
      <c r="D41" s="25">
        <v>3</v>
      </c>
      <c r="E41" s="24" t="s">
        <v>238</v>
      </c>
      <c r="F41" s="24" t="s">
        <v>327</v>
      </c>
      <c r="G41" s="24" t="s">
        <v>395</v>
      </c>
      <c r="H41" s="24" t="s">
        <v>396</v>
      </c>
      <c r="I41" s="24" t="s">
        <v>397</v>
      </c>
      <c r="J41" s="26" t="s">
        <v>168</v>
      </c>
      <c r="K41" s="26" t="s">
        <v>168</v>
      </c>
      <c r="L41" s="26" t="s">
        <v>168</v>
      </c>
      <c r="M41" s="24" t="s">
        <v>169</v>
      </c>
      <c r="N41" s="25" t="s">
        <v>169</v>
      </c>
      <c r="O41" s="33" t="s">
        <v>29</v>
      </c>
      <c r="P41" s="34" t="s">
        <v>53</v>
      </c>
      <c r="Q41" s="24" t="s">
        <v>398</v>
      </c>
      <c r="R41" s="24" t="s">
        <v>399</v>
      </c>
      <c r="S41" s="24" t="s">
        <v>400</v>
      </c>
      <c r="T41" s="24" t="s">
        <v>248</v>
      </c>
      <c r="U41" s="35" t="s">
        <v>53</v>
      </c>
      <c r="V41" s="24" t="s">
        <v>174</v>
      </c>
    </row>
    <row r="42" spans="1:22" ht="63.75" customHeight="1" x14ac:dyDescent="0.25">
      <c r="A42" s="27" t="s">
        <v>160</v>
      </c>
      <c r="B42" s="28" t="s">
        <v>61</v>
      </c>
      <c r="C42" s="27" t="s">
        <v>68</v>
      </c>
      <c r="D42" s="28">
        <v>3</v>
      </c>
      <c r="E42" s="27" t="s">
        <v>238</v>
      </c>
      <c r="F42" s="27" t="s">
        <v>401</v>
      </c>
      <c r="G42" s="27" t="s">
        <v>402</v>
      </c>
      <c r="H42" s="27" t="s">
        <v>403</v>
      </c>
      <c r="I42" s="27" t="s">
        <v>404</v>
      </c>
      <c r="J42" s="26" t="s">
        <v>168</v>
      </c>
      <c r="K42" s="26" t="s">
        <v>168</v>
      </c>
      <c r="L42" s="26" t="s">
        <v>168</v>
      </c>
      <c r="M42" s="27" t="s">
        <v>405</v>
      </c>
      <c r="N42" s="28" t="s">
        <v>406</v>
      </c>
      <c r="O42" s="34" t="s">
        <v>27</v>
      </c>
      <c r="P42" s="33" t="s">
        <v>74</v>
      </c>
      <c r="Q42" s="27" t="s">
        <v>245</v>
      </c>
      <c r="R42" s="27" t="s">
        <v>407</v>
      </c>
      <c r="S42" s="27" t="s">
        <v>408</v>
      </c>
      <c r="T42" s="27" t="s">
        <v>298</v>
      </c>
      <c r="U42" s="38" t="s">
        <v>53</v>
      </c>
      <c r="V42" s="27" t="s">
        <v>174</v>
      </c>
    </row>
    <row r="43" spans="1:22" ht="63.75" customHeight="1" x14ac:dyDescent="0.25">
      <c r="A43" s="24" t="s">
        <v>160</v>
      </c>
      <c r="B43" s="25" t="s">
        <v>61</v>
      </c>
      <c r="C43" s="24" t="s">
        <v>75</v>
      </c>
      <c r="D43" s="25">
        <v>3</v>
      </c>
      <c r="E43" s="24" t="s">
        <v>238</v>
      </c>
      <c r="F43" s="24" t="s">
        <v>409</v>
      </c>
      <c r="G43" s="24" t="s">
        <v>410</v>
      </c>
      <c r="H43" s="24" t="s">
        <v>411</v>
      </c>
      <c r="I43" s="24" t="s">
        <v>412</v>
      </c>
      <c r="J43" s="26" t="s">
        <v>168</v>
      </c>
      <c r="K43" s="26" t="s">
        <v>168</v>
      </c>
      <c r="L43" s="26" t="s">
        <v>168</v>
      </c>
      <c r="M43" s="24" t="s">
        <v>413</v>
      </c>
      <c r="N43" s="25" t="s">
        <v>295</v>
      </c>
      <c r="O43" s="34" t="s">
        <v>27</v>
      </c>
      <c r="P43" s="34" t="s">
        <v>53</v>
      </c>
      <c r="Q43" s="24" t="s">
        <v>245</v>
      </c>
      <c r="R43" s="24" t="s">
        <v>414</v>
      </c>
      <c r="S43" s="24" t="s">
        <v>415</v>
      </c>
      <c r="T43" s="24" t="s">
        <v>298</v>
      </c>
      <c r="U43" s="35" t="s">
        <v>53</v>
      </c>
      <c r="V43" s="24" t="s">
        <v>174</v>
      </c>
    </row>
    <row r="44" spans="1:22" ht="25.5" customHeight="1" x14ac:dyDescent="0.25">
      <c r="A44" s="27" t="s">
        <v>160</v>
      </c>
      <c r="B44" s="28" t="s">
        <v>61</v>
      </c>
      <c r="C44" s="27" t="s">
        <v>416</v>
      </c>
      <c r="D44" s="28">
        <v>3</v>
      </c>
      <c r="E44" s="27" t="s">
        <v>417</v>
      </c>
      <c r="F44" s="27" t="s">
        <v>418</v>
      </c>
      <c r="G44" s="27" t="s">
        <v>252</v>
      </c>
      <c r="H44" s="27" t="s">
        <v>252</v>
      </c>
      <c r="I44" s="27" t="s">
        <v>253</v>
      </c>
      <c r="J44" s="36" t="s">
        <v>254</v>
      </c>
      <c r="K44" s="36" t="s">
        <v>254</v>
      </c>
      <c r="L44" s="36" t="s">
        <v>254</v>
      </c>
      <c r="M44" s="27" t="s">
        <v>255</v>
      </c>
      <c r="N44" s="28" t="s">
        <v>169</v>
      </c>
      <c r="O44" s="36" t="s">
        <v>30</v>
      </c>
      <c r="P44" s="36" t="s">
        <v>254</v>
      </c>
      <c r="Q44" s="27" t="s">
        <v>256</v>
      </c>
      <c r="R44" s="27" t="s">
        <v>419</v>
      </c>
      <c r="S44" s="27" t="s">
        <v>420</v>
      </c>
      <c r="T44" s="27" t="s">
        <v>421</v>
      </c>
      <c r="U44" s="37" t="s">
        <v>74</v>
      </c>
      <c r="V44" s="27" t="s">
        <v>252</v>
      </c>
    </row>
    <row r="45" spans="1:22" ht="38.25" customHeight="1" x14ac:dyDescent="0.25">
      <c r="A45" s="24" t="s">
        <v>160</v>
      </c>
      <c r="B45" s="25" t="s">
        <v>51</v>
      </c>
      <c r="C45" s="24" t="s">
        <v>422</v>
      </c>
      <c r="D45" s="25">
        <v>3</v>
      </c>
      <c r="E45" s="24" t="s">
        <v>238</v>
      </c>
      <c r="F45" s="24" t="s">
        <v>269</v>
      </c>
      <c r="G45" s="24" t="s">
        <v>423</v>
      </c>
      <c r="H45" s="24" t="s">
        <v>424</v>
      </c>
      <c r="I45" s="24" t="s">
        <v>425</v>
      </c>
      <c r="J45" s="26" t="s">
        <v>168</v>
      </c>
      <c r="K45" s="26" t="s">
        <v>168</v>
      </c>
      <c r="L45" s="26" t="s">
        <v>168</v>
      </c>
      <c r="M45" s="24" t="s">
        <v>169</v>
      </c>
      <c r="N45" s="25" t="s">
        <v>169</v>
      </c>
      <c r="O45" s="29" t="s">
        <v>29</v>
      </c>
      <c r="P45" s="34" t="s">
        <v>53</v>
      </c>
      <c r="Q45" s="24" t="s">
        <v>426</v>
      </c>
      <c r="R45" s="24" t="s">
        <v>427</v>
      </c>
      <c r="S45" s="24" t="s">
        <v>428</v>
      </c>
      <c r="T45" s="24" t="s">
        <v>173</v>
      </c>
      <c r="U45" s="30" t="s">
        <v>74</v>
      </c>
      <c r="V45" s="24" t="s">
        <v>174</v>
      </c>
    </row>
    <row r="46" spans="1:22" ht="38.25" customHeight="1" x14ac:dyDescent="0.25">
      <c r="A46" s="27" t="s">
        <v>160</v>
      </c>
      <c r="B46" s="28" t="s">
        <v>51</v>
      </c>
      <c r="C46" s="27" t="s">
        <v>429</v>
      </c>
      <c r="D46" s="28">
        <v>2</v>
      </c>
      <c r="E46" s="27" t="s">
        <v>238</v>
      </c>
      <c r="F46" s="27" t="s">
        <v>430</v>
      </c>
      <c r="G46" s="27" t="s">
        <v>431</v>
      </c>
      <c r="H46" s="27" t="s">
        <v>432</v>
      </c>
      <c r="I46" s="27" t="s">
        <v>433</v>
      </c>
      <c r="J46" s="26" t="s">
        <v>168</v>
      </c>
      <c r="K46" s="26" t="s">
        <v>168</v>
      </c>
      <c r="L46" s="26" t="s">
        <v>168</v>
      </c>
      <c r="M46" s="24" t="s">
        <v>169</v>
      </c>
      <c r="N46" s="25" t="s">
        <v>169</v>
      </c>
      <c r="O46" s="29" t="s">
        <v>29</v>
      </c>
      <c r="P46" s="34" t="s">
        <v>53</v>
      </c>
      <c r="Q46" s="27" t="s">
        <v>434</v>
      </c>
      <c r="R46" s="27" t="s">
        <v>435</v>
      </c>
      <c r="S46" s="27" t="s">
        <v>436</v>
      </c>
      <c r="T46" s="27" t="s">
        <v>325</v>
      </c>
      <c r="U46" s="37" t="s">
        <v>74</v>
      </c>
      <c r="V46" s="27" t="s">
        <v>174</v>
      </c>
    </row>
    <row r="47" spans="1:22" ht="76.5" customHeight="1" x14ac:dyDescent="0.25">
      <c r="A47" s="24" t="s">
        <v>160</v>
      </c>
      <c r="B47" s="25" t="s">
        <v>51</v>
      </c>
      <c r="C47" s="24" t="s">
        <v>56</v>
      </c>
      <c r="D47" s="25">
        <v>3</v>
      </c>
      <c r="E47" s="24" t="s">
        <v>238</v>
      </c>
      <c r="F47" s="24" t="s">
        <v>437</v>
      </c>
      <c r="G47" s="24" t="s">
        <v>438</v>
      </c>
      <c r="H47" s="24" t="s">
        <v>439</v>
      </c>
      <c r="I47" s="24" t="s">
        <v>440</v>
      </c>
      <c r="J47" s="26" t="s">
        <v>168</v>
      </c>
      <c r="K47" s="26" t="s">
        <v>168</v>
      </c>
      <c r="L47" s="34" t="s">
        <v>53</v>
      </c>
      <c r="M47" s="24" t="s">
        <v>169</v>
      </c>
      <c r="N47" s="25" t="s">
        <v>169</v>
      </c>
      <c r="O47" s="29" t="s">
        <v>29</v>
      </c>
      <c r="P47" s="33" t="s">
        <v>74</v>
      </c>
      <c r="Q47" s="24" t="s">
        <v>245</v>
      </c>
      <c r="R47" s="24" t="s">
        <v>441</v>
      </c>
      <c r="S47" s="24" t="s">
        <v>442</v>
      </c>
      <c r="T47" s="24" t="s">
        <v>298</v>
      </c>
      <c r="U47" s="35" t="s">
        <v>53</v>
      </c>
      <c r="V47" s="24" t="s">
        <v>174</v>
      </c>
    </row>
    <row r="48" spans="1:22" ht="25.5" customHeight="1" x14ac:dyDescent="0.25">
      <c r="A48" s="27" t="s">
        <v>160</v>
      </c>
      <c r="B48" s="28" t="s">
        <v>51</v>
      </c>
      <c r="C48" s="27" t="s">
        <v>443</v>
      </c>
      <c r="D48" s="28">
        <v>3</v>
      </c>
      <c r="E48" s="27" t="s">
        <v>163</v>
      </c>
      <c r="F48" s="27" t="s">
        <v>444</v>
      </c>
      <c r="G48" s="27" t="s">
        <v>445</v>
      </c>
      <c r="H48" s="27" t="s">
        <v>446</v>
      </c>
      <c r="I48" s="27" t="s">
        <v>168</v>
      </c>
      <c r="J48" s="26" t="s">
        <v>168</v>
      </c>
      <c r="K48" s="26" t="s">
        <v>168</v>
      </c>
      <c r="L48" s="26" t="s">
        <v>168</v>
      </c>
      <c r="M48" s="24" t="s">
        <v>169</v>
      </c>
      <c r="N48" s="25" t="s">
        <v>169</v>
      </c>
      <c r="O48" s="29" t="s">
        <v>29</v>
      </c>
      <c r="P48" s="26" t="s">
        <v>168</v>
      </c>
      <c r="Q48" s="27" t="s">
        <v>447</v>
      </c>
      <c r="R48" s="27" t="s">
        <v>181</v>
      </c>
      <c r="S48" s="27" t="s">
        <v>448</v>
      </c>
      <c r="T48" s="27" t="s">
        <v>173</v>
      </c>
      <c r="U48" s="31" t="s">
        <v>168</v>
      </c>
      <c r="V48" s="27" t="s">
        <v>174</v>
      </c>
    </row>
    <row r="49" spans="1:22" ht="25.5" customHeight="1" x14ac:dyDescent="0.25">
      <c r="A49" s="24" t="s">
        <v>160</v>
      </c>
      <c r="B49" s="25" t="s">
        <v>51</v>
      </c>
      <c r="C49" s="24" t="s">
        <v>449</v>
      </c>
      <c r="D49" s="25">
        <v>2</v>
      </c>
      <c r="E49" s="24" t="s">
        <v>202</v>
      </c>
      <c r="F49" s="24" t="s">
        <v>203</v>
      </c>
      <c r="G49" s="24" t="s">
        <v>450</v>
      </c>
      <c r="H49" s="24" t="s">
        <v>451</v>
      </c>
      <c r="I49" s="24" t="s">
        <v>188</v>
      </c>
      <c r="J49" s="26" t="s">
        <v>168</v>
      </c>
      <c r="K49" s="26" t="s">
        <v>168</v>
      </c>
      <c r="L49" s="26" t="s">
        <v>168</v>
      </c>
      <c r="M49" s="24" t="s">
        <v>169</v>
      </c>
      <c r="N49" s="25" t="s">
        <v>169</v>
      </c>
      <c r="O49" s="29" t="s">
        <v>29</v>
      </c>
      <c r="P49" s="26" t="s">
        <v>168</v>
      </c>
      <c r="Q49" s="24" t="s">
        <v>180</v>
      </c>
      <c r="R49" s="24" t="s">
        <v>181</v>
      </c>
      <c r="S49" s="24" t="s">
        <v>452</v>
      </c>
      <c r="T49" s="24" t="s">
        <v>183</v>
      </c>
      <c r="U49" s="32" t="s">
        <v>168</v>
      </c>
      <c r="V49" s="24" t="s">
        <v>174</v>
      </c>
    </row>
    <row r="50" spans="1:22" ht="25.5" customHeight="1" x14ac:dyDescent="0.25">
      <c r="A50" s="27" t="s">
        <v>160</v>
      </c>
      <c r="B50" s="28" t="s">
        <v>51</v>
      </c>
      <c r="C50" s="27" t="s">
        <v>453</v>
      </c>
      <c r="D50" s="28">
        <v>2</v>
      </c>
      <c r="E50" s="27" t="s">
        <v>202</v>
      </c>
      <c r="F50" s="27" t="s">
        <v>203</v>
      </c>
      <c r="G50" s="27" t="s">
        <v>454</v>
      </c>
      <c r="H50" s="27" t="s">
        <v>455</v>
      </c>
      <c r="I50" s="27" t="s">
        <v>456</v>
      </c>
      <c r="J50" s="26" t="s">
        <v>168</v>
      </c>
      <c r="K50" s="26" t="s">
        <v>168</v>
      </c>
      <c r="L50" s="26" t="s">
        <v>168</v>
      </c>
      <c r="M50" s="24" t="s">
        <v>169</v>
      </c>
      <c r="N50" s="25" t="s">
        <v>169</v>
      </c>
      <c r="O50" s="29" t="s">
        <v>29</v>
      </c>
      <c r="P50" s="33" t="s">
        <v>74</v>
      </c>
      <c r="Q50" s="27" t="s">
        <v>457</v>
      </c>
      <c r="R50" s="27" t="s">
        <v>458</v>
      </c>
      <c r="S50" s="27" t="s">
        <v>459</v>
      </c>
      <c r="T50" s="27" t="s">
        <v>173</v>
      </c>
      <c r="U50" s="31" t="s">
        <v>168</v>
      </c>
      <c r="V50" s="27" t="s">
        <v>174</v>
      </c>
    </row>
    <row r="51" spans="1:22" ht="25.5" customHeight="1" x14ac:dyDescent="0.25">
      <c r="A51" s="24" t="s">
        <v>160</v>
      </c>
      <c r="B51" s="25" t="s">
        <v>51</v>
      </c>
      <c r="C51" s="24" t="s">
        <v>460</v>
      </c>
      <c r="D51" s="25">
        <v>3</v>
      </c>
      <c r="E51" s="24" t="s">
        <v>417</v>
      </c>
      <c r="F51" s="24" t="s">
        <v>418</v>
      </c>
      <c r="G51" s="24" t="s">
        <v>252</v>
      </c>
      <c r="H51" s="24" t="s">
        <v>252</v>
      </c>
      <c r="I51" s="24" t="s">
        <v>253</v>
      </c>
      <c r="J51" s="36" t="s">
        <v>254</v>
      </c>
      <c r="K51" s="36" t="s">
        <v>254</v>
      </c>
      <c r="L51" s="36" t="s">
        <v>254</v>
      </c>
      <c r="M51" s="24" t="s">
        <v>255</v>
      </c>
      <c r="N51" s="25" t="s">
        <v>169</v>
      </c>
      <c r="O51" s="36" t="s">
        <v>30</v>
      </c>
      <c r="P51" s="36" t="s">
        <v>254</v>
      </c>
      <c r="Q51" s="24" t="s">
        <v>256</v>
      </c>
      <c r="R51" s="24" t="s">
        <v>419</v>
      </c>
      <c r="S51" s="24" t="s">
        <v>461</v>
      </c>
      <c r="T51" s="24" t="s">
        <v>421</v>
      </c>
      <c r="U51" s="30" t="s">
        <v>74</v>
      </c>
      <c r="V51" s="24" t="s">
        <v>252</v>
      </c>
    </row>
    <row r="52" spans="1:22" ht="25.5" customHeight="1" x14ac:dyDescent="0.25">
      <c r="A52" s="27" t="s">
        <v>160</v>
      </c>
      <c r="B52" s="28" t="s">
        <v>72</v>
      </c>
      <c r="C52" s="27" t="s">
        <v>462</v>
      </c>
      <c r="D52" s="28">
        <v>3</v>
      </c>
      <c r="E52" s="27" t="s">
        <v>238</v>
      </c>
      <c r="F52" s="27" t="s">
        <v>327</v>
      </c>
      <c r="G52" s="27" t="s">
        <v>463</v>
      </c>
      <c r="H52" s="27" t="s">
        <v>464</v>
      </c>
      <c r="I52" s="27" t="s">
        <v>465</v>
      </c>
      <c r="J52" s="26" t="s">
        <v>168</v>
      </c>
      <c r="K52" s="26" t="s">
        <v>168</v>
      </c>
      <c r="L52" s="26" t="s">
        <v>168</v>
      </c>
      <c r="M52" s="27" t="s">
        <v>169</v>
      </c>
      <c r="N52" s="28" t="s">
        <v>169</v>
      </c>
      <c r="O52" s="29" t="s">
        <v>29</v>
      </c>
      <c r="P52" s="34" t="s">
        <v>53</v>
      </c>
      <c r="Q52" s="27" t="s">
        <v>466</v>
      </c>
      <c r="R52" s="27" t="s">
        <v>467</v>
      </c>
      <c r="S52" s="27" t="s">
        <v>468</v>
      </c>
      <c r="T52" s="27" t="s">
        <v>173</v>
      </c>
      <c r="U52" s="37" t="s">
        <v>74</v>
      </c>
      <c r="V52" s="27" t="s">
        <v>174</v>
      </c>
    </row>
    <row r="53" spans="1:22" ht="38.25" customHeight="1" x14ac:dyDescent="0.25">
      <c r="A53" s="24" t="s">
        <v>160</v>
      </c>
      <c r="B53" s="25" t="s">
        <v>72</v>
      </c>
      <c r="C53" s="24" t="s">
        <v>469</v>
      </c>
      <c r="D53" s="25">
        <v>3</v>
      </c>
      <c r="E53" s="24" t="s">
        <v>238</v>
      </c>
      <c r="F53" s="24" t="s">
        <v>470</v>
      </c>
      <c r="G53" s="24" t="s">
        <v>471</v>
      </c>
      <c r="H53" s="24" t="s">
        <v>472</v>
      </c>
      <c r="I53" s="24" t="s">
        <v>473</v>
      </c>
      <c r="J53" s="26" t="s">
        <v>168</v>
      </c>
      <c r="K53" s="26" t="s">
        <v>168</v>
      </c>
      <c r="L53" s="26" t="s">
        <v>168</v>
      </c>
      <c r="M53" s="24" t="s">
        <v>169</v>
      </c>
      <c r="N53" s="25" t="s">
        <v>169</v>
      </c>
      <c r="O53" s="33" t="s">
        <v>29</v>
      </c>
      <c r="P53" s="34" t="s">
        <v>53</v>
      </c>
      <c r="Q53" s="24" t="s">
        <v>474</v>
      </c>
      <c r="R53" s="24" t="s">
        <v>475</v>
      </c>
      <c r="S53" s="24" t="s">
        <v>476</v>
      </c>
      <c r="T53" s="24" t="s">
        <v>248</v>
      </c>
      <c r="U53" s="35" t="s">
        <v>53</v>
      </c>
      <c r="V53" s="24" t="s">
        <v>174</v>
      </c>
    </row>
    <row r="54" spans="1:22" ht="38.25" customHeight="1" x14ac:dyDescent="0.25">
      <c r="A54" s="27" t="s">
        <v>160</v>
      </c>
      <c r="B54" s="28" t="s">
        <v>72</v>
      </c>
      <c r="C54" s="27" t="s">
        <v>477</v>
      </c>
      <c r="D54" s="28">
        <v>3</v>
      </c>
      <c r="E54" s="27" t="s">
        <v>238</v>
      </c>
      <c r="F54" s="27" t="s">
        <v>478</v>
      </c>
      <c r="G54" s="27" t="s">
        <v>479</v>
      </c>
      <c r="H54" s="27" t="s">
        <v>480</v>
      </c>
      <c r="I54" s="27" t="s">
        <v>481</v>
      </c>
      <c r="J54" s="26" t="s">
        <v>168</v>
      </c>
      <c r="K54" s="26" t="s">
        <v>168</v>
      </c>
      <c r="L54" s="26" t="s">
        <v>168</v>
      </c>
      <c r="M54" s="27" t="s">
        <v>169</v>
      </c>
      <c r="N54" s="28" t="s">
        <v>169</v>
      </c>
      <c r="O54" s="33" t="s">
        <v>29</v>
      </c>
      <c r="P54" s="33" t="s">
        <v>74</v>
      </c>
      <c r="Q54" s="27" t="s">
        <v>170</v>
      </c>
      <c r="R54" s="27" t="s">
        <v>23</v>
      </c>
      <c r="S54" s="27" t="s">
        <v>482</v>
      </c>
      <c r="T54" s="27" t="s">
        <v>298</v>
      </c>
      <c r="U54" s="38" t="s">
        <v>53</v>
      </c>
      <c r="V54" s="27" t="s">
        <v>174</v>
      </c>
    </row>
    <row r="55" spans="1:22" ht="51" customHeight="1" x14ac:dyDescent="0.25">
      <c r="A55" s="24" t="s">
        <v>160</v>
      </c>
      <c r="B55" s="25" t="s">
        <v>72</v>
      </c>
      <c r="C55" s="24" t="s">
        <v>483</v>
      </c>
      <c r="D55" s="25">
        <v>3</v>
      </c>
      <c r="E55" s="24" t="s">
        <v>238</v>
      </c>
      <c r="F55" s="24" t="s">
        <v>484</v>
      </c>
      <c r="G55" s="24" t="s">
        <v>485</v>
      </c>
      <c r="H55" s="24" t="s">
        <v>486</v>
      </c>
      <c r="I55" s="24" t="s">
        <v>487</v>
      </c>
      <c r="J55" s="26" t="s">
        <v>168</v>
      </c>
      <c r="K55" s="26" t="s">
        <v>168</v>
      </c>
      <c r="L55" s="26" t="s">
        <v>168</v>
      </c>
      <c r="M55" s="27" t="s">
        <v>169</v>
      </c>
      <c r="N55" s="28" t="s">
        <v>169</v>
      </c>
      <c r="O55" s="33" t="s">
        <v>28</v>
      </c>
      <c r="P55" s="34" t="s">
        <v>53</v>
      </c>
      <c r="Q55" s="24" t="s">
        <v>488</v>
      </c>
      <c r="R55" s="24" t="s">
        <v>489</v>
      </c>
      <c r="S55" s="24" t="s">
        <v>490</v>
      </c>
      <c r="T55" s="24" t="s">
        <v>248</v>
      </c>
      <c r="U55" s="35" t="s">
        <v>53</v>
      </c>
      <c r="V55" s="24" t="s">
        <v>174</v>
      </c>
    </row>
    <row r="56" spans="1:22" ht="25.5" customHeight="1" x14ac:dyDescent="0.25">
      <c r="A56" s="27" t="s">
        <v>160</v>
      </c>
      <c r="B56" s="28" t="s">
        <v>72</v>
      </c>
      <c r="C56" s="27" t="s">
        <v>491</v>
      </c>
      <c r="D56" s="28">
        <v>3</v>
      </c>
      <c r="E56" s="27" t="s">
        <v>238</v>
      </c>
      <c r="F56" s="27" t="s">
        <v>478</v>
      </c>
      <c r="G56" s="27" t="s">
        <v>492</v>
      </c>
      <c r="H56" s="27" t="s">
        <v>493</v>
      </c>
      <c r="I56" s="27" t="s">
        <v>494</v>
      </c>
      <c r="J56" s="26" t="s">
        <v>168</v>
      </c>
      <c r="K56" s="26" t="s">
        <v>168</v>
      </c>
      <c r="L56" s="26" t="s">
        <v>168</v>
      </c>
      <c r="M56" s="27" t="s">
        <v>169</v>
      </c>
      <c r="N56" s="28" t="s">
        <v>169</v>
      </c>
      <c r="O56" s="33" t="s">
        <v>28</v>
      </c>
      <c r="P56" s="26" t="s">
        <v>168</v>
      </c>
      <c r="Q56" s="27" t="s">
        <v>170</v>
      </c>
      <c r="R56" s="27" t="s">
        <v>495</v>
      </c>
      <c r="S56" s="27" t="s">
        <v>496</v>
      </c>
      <c r="T56" s="27" t="s">
        <v>173</v>
      </c>
      <c r="U56" s="37" t="s">
        <v>74</v>
      </c>
      <c r="V56" s="27" t="s">
        <v>174</v>
      </c>
    </row>
    <row r="57" spans="1:22" ht="25.5" customHeight="1" x14ac:dyDescent="0.25">
      <c r="A57" s="24" t="s">
        <v>160</v>
      </c>
      <c r="B57" s="25" t="s">
        <v>72</v>
      </c>
      <c r="C57" s="24" t="s">
        <v>497</v>
      </c>
      <c r="D57" s="25">
        <v>3</v>
      </c>
      <c r="E57" s="24" t="s">
        <v>417</v>
      </c>
      <c r="F57" s="24" t="s">
        <v>418</v>
      </c>
      <c r="G57" s="24" t="s">
        <v>252</v>
      </c>
      <c r="H57" s="24" t="s">
        <v>252</v>
      </c>
      <c r="I57" s="24" t="s">
        <v>253</v>
      </c>
      <c r="J57" s="36" t="s">
        <v>254</v>
      </c>
      <c r="K57" s="36" t="s">
        <v>254</v>
      </c>
      <c r="L57" s="36" t="s">
        <v>254</v>
      </c>
      <c r="M57" s="24" t="s">
        <v>255</v>
      </c>
      <c r="N57" s="25" t="s">
        <v>169</v>
      </c>
      <c r="O57" s="36" t="s">
        <v>30</v>
      </c>
      <c r="P57" s="36" t="s">
        <v>254</v>
      </c>
      <c r="Q57" s="24" t="s">
        <v>256</v>
      </c>
      <c r="R57" s="24" t="s">
        <v>419</v>
      </c>
      <c r="S57" s="24" t="s">
        <v>461</v>
      </c>
      <c r="T57" s="24" t="s">
        <v>421</v>
      </c>
      <c r="U57" s="30" t="s">
        <v>74</v>
      </c>
      <c r="V57" s="24" t="s">
        <v>252</v>
      </c>
    </row>
    <row r="59" spans="1:22" x14ac:dyDescent="0.25">
      <c r="A59" s="7" t="s">
        <v>498</v>
      </c>
      <c r="B59" s="7"/>
      <c r="C59" s="7"/>
      <c r="D59" s="7"/>
      <c r="E59" s="7"/>
      <c r="F59" s="7"/>
      <c r="G59" s="7"/>
      <c r="H59" s="7"/>
      <c r="I59" s="7"/>
      <c r="J59" s="7"/>
      <c r="K59" s="7"/>
      <c r="L59" s="7"/>
      <c r="M59" s="7"/>
      <c r="N59" s="7"/>
      <c r="O59" s="7"/>
      <c r="P59" s="7"/>
      <c r="Q59" s="7"/>
      <c r="R59" s="7"/>
      <c r="S59" s="7"/>
      <c r="T59" s="7"/>
      <c r="U59" s="7"/>
      <c r="V59" s="7"/>
    </row>
  </sheetData>
  <autoFilter ref="A4:V57" xr:uid="{00000000-0009-0000-0000-000001000000}"/>
  <mergeCells count="3">
    <mergeCell ref="A1:V1"/>
    <mergeCell ref="A2:V2"/>
    <mergeCell ref="A59:V5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9"/>
  <sheetViews>
    <sheetView showGridLines="0" zoomScaleNormal="100" workbookViewId="0">
      <pane xSplit="3" ySplit="4" topLeftCell="I5" activePane="bottomRight" state="frozen"/>
      <selection pane="topRight" activeCell="I1" sqref="I1"/>
      <selection pane="bottomLeft" activeCell="A54" sqref="A54"/>
      <selection pane="bottomRight" activeCell="M58" sqref="M58"/>
    </sheetView>
  </sheetViews>
  <sheetFormatPr baseColWidth="10" defaultColWidth="8.7109375" defaultRowHeight="15" x14ac:dyDescent="0.25"/>
  <cols>
    <col min="1" max="1" width="16" customWidth="1"/>
    <col min="2" max="2" width="11" customWidth="1"/>
    <col min="3" max="3" width="42" customWidth="1"/>
    <col min="4" max="4" width="8" customWidth="1"/>
    <col min="5" max="5" width="19" customWidth="1"/>
    <col min="6" max="6" width="25" customWidth="1"/>
    <col min="7" max="8" width="44" customWidth="1"/>
    <col min="9" max="9" width="32" customWidth="1"/>
    <col min="10" max="10" width="12" customWidth="1"/>
    <col min="11" max="11" width="11" customWidth="1"/>
    <col min="12" max="12" width="12" customWidth="1"/>
    <col min="13" max="13" width="34" customWidth="1"/>
    <col min="14" max="14" width="13" customWidth="1"/>
    <col min="15" max="15" width="16" customWidth="1"/>
    <col min="16" max="16" width="14" customWidth="1"/>
    <col min="17" max="17" width="58" customWidth="1"/>
    <col min="18" max="18" width="40" customWidth="1"/>
    <col min="19" max="19" width="74" customWidth="1"/>
    <col min="20" max="20" width="22" customWidth="1"/>
    <col min="21" max="21" width="12" customWidth="1"/>
    <col min="22" max="22" width="21" customWidth="1"/>
  </cols>
  <sheetData>
    <row r="1" spans="1:22" ht="33.75" customHeight="1" x14ac:dyDescent="0.25">
      <c r="A1" s="9" t="s">
        <v>499</v>
      </c>
      <c r="B1" s="9"/>
      <c r="C1" s="9"/>
      <c r="D1" s="9"/>
      <c r="E1" s="9"/>
      <c r="F1" s="9"/>
      <c r="G1" s="9"/>
      <c r="H1" s="9"/>
      <c r="I1" s="9"/>
      <c r="J1" s="9"/>
      <c r="K1" s="9"/>
      <c r="L1" s="9"/>
      <c r="M1" s="9"/>
      <c r="N1" s="9"/>
      <c r="O1" s="9"/>
      <c r="P1" s="9"/>
      <c r="Q1" s="9"/>
      <c r="R1" s="9"/>
      <c r="S1" s="9"/>
      <c r="T1" s="9"/>
      <c r="U1" s="9"/>
      <c r="V1" s="9"/>
    </row>
    <row r="2" spans="1:22" ht="18" customHeight="1" x14ac:dyDescent="0.25">
      <c r="A2" s="8" t="s">
        <v>500</v>
      </c>
      <c r="B2" s="8"/>
      <c r="C2" s="8"/>
      <c r="D2" s="8"/>
      <c r="E2" s="8"/>
      <c r="F2" s="8"/>
      <c r="G2" s="8"/>
      <c r="H2" s="8"/>
      <c r="I2" s="8"/>
      <c r="J2" s="8"/>
      <c r="K2" s="8"/>
      <c r="L2" s="8"/>
      <c r="M2" s="8"/>
      <c r="N2" s="8"/>
      <c r="O2" s="8"/>
      <c r="P2" s="8"/>
      <c r="Q2" s="8"/>
      <c r="R2" s="8"/>
      <c r="S2" s="8"/>
      <c r="T2" s="8"/>
      <c r="U2" s="8"/>
      <c r="V2" s="8"/>
    </row>
    <row r="4" spans="1:22" ht="39.75" customHeight="1" x14ac:dyDescent="0.25">
      <c r="A4" s="10" t="s">
        <v>45</v>
      </c>
      <c r="B4" s="10" t="s">
        <v>145</v>
      </c>
      <c r="C4" s="10" t="s">
        <v>47</v>
      </c>
      <c r="D4" s="10" t="s">
        <v>146</v>
      </c>
      <c r="E4" s="10" t="s">
        <v>147</v>
      </c>
      <c r="F4" s="10" t="s">
        <v>148</v>
      </c>
      <c r="G4" s="10" t="s">
        <v>149</v>
      </c>
      <c r="H4" s="10" t="s">
        <v>150</v>
      </c>
      <c r="I4" s="10" t="s">
        <v>151</v>
      </c>
      <c r="J4" s="10" t="s">
        <v>21</v>
      </c>
      <c r="K4" s="10" t="s">
        <v>22</v>
      </c>
      <c r="L4" s="10" t="s">
        <v>23</v>
      </c>
      <c r="M4" s="23" t="s">
        <v>152</v>
      </c>
      <c r="N4" s="23" t="s">
        <v>153</v>
      </c>
      <c r="O4" s="23" t="s">
        <v>26</v>
      </c>
      <c r="P4" s="10" t="s">
        <v>154</v>
      </c>
      <c r="Q4" s="10" t="s">
        <v>155</v>
      </c>
      <c r="R4" s="10" t="s">
        <v>48</v>
      </c>
      <c r="S4" s="10" t="s">
        <v>156</v>
      </c>
      <c r="T4" s="10" t="s">
        <v>157</v>
      </c>
      <c r="U4" s="10" t="s">
        <v>158</v>
      </c>
      <c r="V4" s="10" t="s">
        <v>159</v>
      </c>
    </row>
    <row r="5" spans="1:22" ht="51" customHeight="1" x14ac:dyDescent="0.25">
      <c r="A5" s="24" t="s">
        <v>501</v>
      </c>
      <c r="B5" s="25" t="s">
        <v>161</v>
      </c>
      <c r="C5" s="24" t="s">
        <v>162</v>
      </c>
      <c r="D5" s="25">
        <v>2</v>
      </c>
      <c r="E5" s="24" t="s">
        <v>163</v>
      </c>
      <c r="F5" s="24" t="s">
        <v>164</v>
      </c>
      <c r="G5" s="24" t="s">
        <v>502</v>
      </c>
      <c r="H5" s="24" t="s">
        <v>503</v>
      </c>
      <c r="I5" s="24" t="s">
        <v>504</v>
      </c>
      <c r="J5" s="26" t="s">
        <v>168</v>
      </c>
      <c r="K5" s="26" t="s">
        <v>168</v>
      </c>
      <c r="L5" s="26" t="s">
        <v>168</v>
      </c>
      <c r="M5" s="27" t="s">
        <v>169</v>
      </c>
      <c r="N5" s="28" t="s">
        <v>169</v>
      </c>
      <c r="O5" s="29" t="s">
        <v>29</v>
      </c>
      <c r="P5" s="33" t="s">
        <v>74</v>
      </c>
      <c r="Q5" s="24" t="s">
        <v>170</v>
      </c>
      <c r="R5" s="24" t="s">
        <v>171</v>
      </c>
      <c r="S5" s="24" t="s">
        <v>505</v>
      </c>
      <c r="T5" s="24" t="s">
        <v>173</v>
      </c>
      <c r="U5" s="30" t="s">
        <v>74</v>
      </c>
      <c r="V5" s="24" t="s">
        <v>174</v>
      </c>
    </row>
    <row r="6" spans="1:22" ht="25.5" customHeight="1" x14ac:dyDescent="0.25">
      <c r="A6" s="27" t="s">
        <v>501</v>
      </c>
      <c r="B6" s="28" t="s">
        <v>161</v>
      </c>
      <c r="C6" s="27" t="s">
        <v>197</v>
      </c>
      <c r="D6" s="28">
        <v>3</v>
      </c>
      <c r="E6" s="27" t="s">
        <v>163</v>
      </c>
      <c r="F6" s="27" t="s">
        <v>176</v>
      </c>
      <c r="G6" s="27" t="s">
        <v>506</v>
      </c>
      <c r="H6" s="27" t="s">
        <v>507</v>
      </c>
      <c r="I6" s="27" t="s">
        <v>188</v>
      </c>
      <c r="J6" s="26" t="s">
        <v>168</v>
      </c>
      <c r="K6" s="26" t="s">
        <v>168</v>
      </c>
      <c r="L6" s="26" t="s">
        <v>168</v>
      </c>
      <c r="M6" s="27" t="s">
        <v>169</v>
      </c>
      <c r="N6" s="28" t="s">
        <v>169</v>
      </c>
      <c r="O6" s="29" t="s">
        <v>29</v>
      </c>
      <c r="P6" s="26" t="s">
        <v>168</v>
      </c>
      <c r="Q6" s="27" t="s">
        <v>180</v>
      </c>
      <c r="R6" s="27" t="s">
        <v>181</v>
      </c>
      <c r="S6" s="27" t="s">
        <v>508</v>
      </c>
      <c r="T6" s="27" t="s">
        <v>183</v>
      </c>
      <c r="U6" s="31" t="s">
        <v>168</v>
      </c>
      <c r="V6" s="27" t="s">
        <v>174</v>
      </c>
    </row>
    <row r="7" spans="1:22" ht="25.5" customHeight="1" x14ac:dyDescent="0.25">
      <c r="A7" s="24" t="s">
        <v>501</v>
      </c>
      <c r="B7" s="25" t="s">
        <v>161</v>
      </c>
      <c r="C7" s="24" t="s">
        <v>509</v>
      </c>
      <c r="D7" s="25">
        <v>3</v>
      </c>
      <c r="E7" s="24" t="s">
        <v>163</v>
      </c>
      <c r="F7" s="24" t="s">
        <v>185</v>
      </c>
      <c r="G7" s="24" t="s">
        <v>510</v>
      </c>
      <c r="H7" s="24" t="s">
        <v>511</v>
      </c>
      <c r="I7" s="24" t="s">
        <v>188</v>
      </c>
      <c r="J7" s="26" t="s">
        <v>168</v>
      </c>
      <c r="K7" s="26" t="s">
        <v>168</v>
      </c>
      <c r="L7" s="26" t="s">
        <v>168</v>
      </c>
      <c r="M7" s="24" t="s">
        <v>169</v>
      </c>
      <c r="N7" s="25" t="s">
        <v>169</v>
      </c>
      <c r="O7" s="29" t="s">
        <v>29</v>
      </c>
      <c r="P7" s="26" t="s">
        <v>168</v>
      </c>
      <c r="Q7" s="24" t="s">
        <v>180</v>
      </c>
      <c r="R7" s="24" t="s">
        <v>181</v>
      </c>
      <c r="S7" s="24" t="s">
        <v>512</v>
      </c>
      <c r="T7" s="24" t="s">
        <v>183</v>
      </c>
      <c r="U7" s="32" t="s">
        <v>168</v>
      </c>
      <c r="V7" s="24" t="s">
        <v>174</v>
      </c>
    </row>
    <row r="8" spans="1:22" ht="25.5" customHeight="1" x14ac:dyDescent="0.25">
      <c r="A8" s="27" t="s">
        <v>501</v>
      </c>
      <c r="B8" s="28" t="s">
        <v>161</v>
      </c>
      <c r="C8" s="27" t="s">
        <v>184</v>
      </c>
      <c r="D8" s="28">
        <v>3</v>
      </c>
      <c r="E8" s="27" t="s">
        <v>163</v>
      </c>
      <c r="F8" s="27" t="s">
        <v>185</v>
      </c>
      <c r="G8" s="27" t="s">
        <v>186</v>
      </c>
      <c r="H8" s="27" t="s">
        <v>513</v>
      </c>
      <c r="I8" s="27" t="s">
        <v>188</v>
      </c>
      <c r="J8" s="26" t="s">
        <v>168</v>
      </c>
      <c r="K8" s="26" t="s">
        <v>168</v>
      </c>
      <c r="L8" s="26" t="s">
        <v>168</v>
      </c>
      <c r="M8" s="27" t="s">
        <v>169</v>
      </c>
      <c r="N8" s="28" t="s">
        <v>169</v>
      </c>
      <c r="O8" s="29" t="s">
        <v>29</v>
      </c>
      <c r="P8" s="26" t="s">
        <v>168</v>
      </c>
      <c r="Q8" s="27" t="s">
        <v>180</v>
      </c>
      <c r="R8" s="27" t="s">
        <v>181</v>
      </c>
      <c r="S8" s="27" t="s">
        <v>217</v>
      </c>
      <c r="T8" s="27" t="s">
        <v>183</v>
      </c>
      <c r="U8" s="31" t="s">
        <v>168</v>
      </c>
      <c r="V8" s="27" t="s">
        <v>174</v>
      </c>
    </row>
    <row r="9" spans="1:22" ht="25.5" customHeight="1" x14ac:dyDescent="0.25">
      <c r="A9" s="24" t="s">
        <v>501</v>
      </c>
      <c r="B9" s="25" t="s">
        <v>161</v>
      </c>
      <c r="C9" s="24" t="s">
        <v>218</v>
      </c>
      <c r="D9" s="25">
        <v>3</v>
      </c>
      <c r="E9" s="24" t="s">
        <v>163</v>
      </c>
      <c r="F9" s="24" t="s">
        <v>185</v>
      </c>
      <c r="G9" s="24" t="s">
        <v>514</v>
      </c>
      <c r="H9" s="24" t="s">
        <v>220</v>
      </c>
      <c r="I9" s="24" t="s">
        <v>193</v>
      </c>
      <c r="J9" s="26" t="s">
        <v>168</v>
      </c>
      <c r="K9" s="26" t="s">
        <v>168</v>
      </c>
      <c r="L9" s="26" t="s">
        <v>168</v>
      </c>
      <c r="M9" s="24" t="s">
        <v>169</v>
      </c>
      <c r="N9" s="25" t="s">
        <v>169</v>
      </c>
      <c r="O9" s="29" t="s">
        <v>29</v>
      </c>
      <c r="P9" s="33" t="s">
        <v>74</v>
      </c>
      <c r="Q9" s="24" t="s">
        <v>221</v>
      </c>
      <c r="R9" s="24" t="s">
        <v>195</v>
      </c>
      <c r="S9" s="24" t="s">
        <v>222</v>
      </c>
      <c r="T9" s="24" t="s">
        <v>183</v>
      </c>
      <c r="U9" s="32" t="s">
        <v>168</v>
      </c>
      <c r="V9" s="24" t="s">
        <v>174</v>
      </c>
    </row>
    <row r="10" spans="1:22" ht="25.5" customHeight="1" x14ac:dyDescent="0.25">
      <c r="A10" s="27" t="s">
        <v>501</v>
      </c>
      <c r="B10" s="28" t="s">
        <v>161</v>
      </c>
      <c r="C10" s="27" t="s">
        <v>208</v>
      </c>
      <c r="D10" s="28">
        <v>1</v>
      </c>
      <c r="E10" s="27" t="s">
        <v>202</v>
      </c>
      <c r="F10" s="27" t="s">
        <v>209</v>
      </c>
      <c r="G10" s="27" t="s">
        <v>210</v>
      </c>
      <c r="H10" s="27" t="s">
        <v>211</v>
      </c>
      <c r="I10" s="27" t="s">
        <v>188</v>
      </c>
      <c r="J10" s="26" t="s">
        <v>168</v>
      </c>
      <c r="K10" s="26" t="s">
        <v>168</v>
      </c>
      <c r="L10" s="26" t="s">
        <v>168</v>
      </c>
      <c r="M10" s="27" t="s">
        <v>169</v>
      </c>
      <c r="N10" s="28" t="s">
        <v>169</v>
      </c>
      <c r="O10" s="29" t="s">
        <v>29</v>
      </c>
      <c r="P10" s="26" t="s">
        <v>168</v>
      </c>
      <c r="Q10" s="27" t="s">
        <v>180</v>
      </c>
      <c r="R10" s="27" t="s">
        <v>181</v>
      </c>
      <c r="S10" s="27" t="s">
        <v>212</v>
      </c>
      <c r="T10" s="27" t="s">
        <v>183</v>
      </c>
      <c r="U10" s="31" t="s">
        <v>168</v>
      </c>
      <c r="V10" s="27" t="s">
        <v>174</v>
      </c>
    </row>
    <row r="11" spans="1:22" ht="25.5" customHeight="1" x14ac:dyDescent="0.25">
      <c r="A11" s="24" t="s">
        <v>501</v>
      </c>
      <c r="B11" s="25" t="s">
        <v>161</v>
      </c>
      <c r="C11" s="24" t="s">
        <v>201</v>
      </c>
      <c r="D11" s="25">
        <v>3</v>
      </c>
      <c r="E11" s="24" t="s">
        <v>202</v>
      </c>
      <c r="F11" s="24" t="s">
        <v>203</v>
      </c>
      <c r="G11" s="24" t="s">
        <v>204</v>
      </c>
      <c r="H11" s="24" t="s">
        <v>205</v>
      </c>
      <c r="I11" s="24" t="s">
        <v>168</v>
      </c>
      <c r="J11" s="26" t="s">
        <v>168</v>
      </c>
      <c r="K11" s="26" t="s">
        <v>168</v>
      </c>
      <c r="L11" s="26" t="s">
        <v>168</v>
      </c>
      <c r="M11" s="24" t="s">
        <v>169</v>
      </c>
      <c r="N11" s="25" t="s">
        <v>169</v>
      </c>
      <c r="O11" s="29" t="s">
        <v>29</v>
      </c>
      <c r="P11" s="26" t="s">
        <v>168</v>
      </c>
      <c r="Q11" s="24" t="s">
        <v>180</v>
      </c>
      <c r="R11" s="24" t="s">
        <v>181</v>
      </c>
      <c r="S11" s="24" t="s">
        <v>515</v>
      </c>
      <c r="T11" s="24" t="s">
        <v>183</v>
      </c>
      <c r="U11" s="32" t="s">
        <v>168</v>
      </c>
      <c r="V11" s="24" t="s">
        <v>174</v>
      </c>
    </row>
    <row r="12" spans="1:22" ht="25.5" customHeight="1" x14ac:dyDescent="0.25">
      <c r="A12" s="27" t="s">
        <v>501</v>
      </c>
      <c r="B12" s="28" t="s">
        <v>213</v>
      </c>
      <c r="C12" s="27" t="s">
        <v>214</v>
      </c>
      <c r="D12" s="28">
        <v>3</v>
      </c>
      <c r="E12" s="27" t="s">
        <v>163</v>
      </c>
      <c r="F12" s="27" t="s">
        <v>185</v>
      </c>
      <c r="G12" s="27" t="s">
        <v>516</v>
      </c>
      <c r="H12" s="27" t="s">
        <v>216</v>
      </c>
      <c r="I12" s="27" t="s">
        <v>188</v>
      </c>
      <c r="J12" s="26" t="s">
        <v>168</v>
      </c>
      <c r="K12" s="26" t="s">
        <v>168</v>
      </c>
      <c r="L12" s="26" t="s">
        <v>168</v>
      </c>
      <c r="M12" s="27" t="s">
        <v>169</v>
      </c>
      <c r="N12" s="28" t="s">
        <v>169</v>
      </c>
      <c r="O12" s="29" t="s">
        <v>29</v>
      </c>
      <c r="P12" s="26" t="s">
        <v>168</v>
      </c>
      <c r="Q12" s="27" t="s">
        <v>180</v>
      </c>
      <c r="R12" s="27" t="s">
        <v>181</v>
      </c>
      <c r="S12" s="27" t="s">
        <v>217</v>
      </c>
      <c r="T12" s="27" t="s">
        <v>183</v>
      </c>
      <c r="U12" s="31" t="s">
        <v>168</v>
      </c>
      <c r="V12" s="27" t="s">
        <v>174</v>
      </c>
    </row>
    <row r="13" spans="1:22" ht="38.25" customHeight="1" x14ac:dyDescent="0.25">
      <c r="A13" s="24" t="s">
        <v>501</v>
      </c>
      <c r="B13" s="25" t="s">
        <v>213</v>
      </c>
      <c r="C13" s="24" t="s">
        <v>249</v>
      </c>
      <c r="D13" s="25">
        <v>2</v>
      </c>
      <c r="E13" s="24" t="s">
        <v>250</v>
      </c>
      <c r="F13" s="24" t="s">
        <v>251</v>
      </c>
      <c r="G13" s="24" t="s">
        <v>252</v>
      </c>
      <c r="H13" s="24" t="s">
        <v>252</v>
      </c>
      <c r="I13" s="24" t="s">
        <v>253</v>
      </c>
      <c r="J13" s="36" t="s">
        <v>254</v>
      </c>
      <c r="K13" s="36" t="s">
        <v>254</v>
      </c>
      <c r="L13" s="36" t="s">
        <v>254</v>
      </c>
      <c r="M13" s="24" t="s">
        <v>255</v>
      </c>
      <c r="N13" s="25" t="s">
        <v>169</v>
      </c>
      <c r="O13" s="36" t="s">
        <v>30</v>
      </c>
      <c r="P13" s="36" t="s">
        <v>254</v>
      </c>
      <c r="Q13" s="24" t="s">
        <v>256</v>
      </c>
      <c r="R13" s="24" t="s">
        <v>257</v>
      </c>
      <c r="S13" s="24" t="s">
        <v>517</v>
      </c>
      <c r="T13" s="24" t="s">
        <v>259</v>
      </c>
      <c r="U13" s="30" t="s">
        <v>74</v>
      </c>
      <c r="V13" s="24" t="s">
        <v>252</v>
      </c>
    </row>
    <row r="14" spans="1:22" ht="25.5" customHeight="1" x14ac:dyDescent="0.25">
      <c r="A14" s="27" t="s">
        <v>501</v>
      </c>
      <c r="B14" s="28" t="s">
        <v>213</v>
      </c>
      <c r="C14" s="27" t="s">
        <v>223</v>
      </c>
      <c r="D14" s="28">
        <v>3</v>
      </c>
      <c r="E14" s="27" t="s">
        <v>163</v>
      </c>
      <c r="F14" s="27" t="s">
        <v>185</v>
      </c>
      <c r="G14" s="27" t="s">
        <v>518</v>
      </c>
      <c r="H14" s="27" t="s">
        <v>225</v>
      </c>
      <c r="I14" s="27" t="s">
        <v>188</v>
      </c>
      <c r="J14" s="26" t="s">
        <v>168</v>
      </c>
      <c r="K14" s="26" t="s">
        <v>168</v>
      </c>
      <c r="L14" s="26" t="s">
        <v>168</v>
      </c>
      <c r="M14" s="27" t="s">
        <v>169</v>
      </c>
      <c r="N14" s="28" t="s">
        <v>169</v>
      </c>
      <c r="O14" s="29" t="s">
        <v>29</v>
      </c>
      <c r="P14" s="26" t="s">
        <v>168</v>
      </c>
      <c r="Q14" s="27" t="s">
        <v>180</v>
      </c>
      <c r="R14" s="27" t="s">
        <v>181</v>
      </c>
      <c r="S14" s="27" t="s">
        <v>217</v>
      </c>
      <c r="T14" s="27" t="s">
        <v>183</v>
      </c>
      <c r="U14" s="31" t="s">
        <v>168</v>
      </c>
      <c r="V14" s="27" t="s">
        <v>174</v>
      </c>
    </row>
    <row r="15" spans="1:22" ht="25.5" customHeight="1" x14ac:dyDescent="0.25">
      <c r="A15" s="24" t="s">
        <v>501</v>
      </c>
      <c r="B15" s="25" t="s">
        <v>213</v>
      </c>
      <c r="C15" s="24" t="s">
        <v>519</v>
      </c>
      <c r="D15" s="25">
        <v>3</v>
      </c>
      <c r="E15" s="24" t="s">
        <v>163</v>
      </c>
      <c r="F15" s="24" t="s">
        <v>520</v>
      </c>
      <c r="G15" s="24" t="s">
        <v>521</v>
      </c>
      <c r="H15" s="24" t="s">
        <v>522</v>
      </c>
      <c r="I15" s="24" t="s">
        <v>188</v>
      </c>
      <c r="J15" s="26" t="s">
        <v>168</v>
      </c>
      <c r="K15" s="26" t="s">
        <v>168</v>
      </c>
      <c r="L15" s="26" t="s">
        <v>168</v>
      </c>
      <c r="M15" s="24" t="s">
        <v>169</v>
      </c>
      <c r="N15" s="25" t="s">
        <v>169</v>
      </c>
      <c r="O15" s="29" t="s">
        <v>29</v>
      </c>
      <c r="P15" s="26" t="s">
        <v>168</v>
      </c>
      <c r="Q15" s="24" t="s">
        <v>180</v>
      </c>
      <c r="R15" s="24" t="s">
        <v>181</v>
      </c>
      <c r="S15" s="24" t="s">
        <v>523</v>
      </c>
      <c r="T15" s="24" t="s">
        <v>183</v>
      </c>
      <c r="U15" s="32" t="s">
        <v>168</v>
      </c>
      <c r="V15" s="24" t="s">
        <v>174</v>
      </c>
    </row>
    <row r="16" spans="1:22" ht="63.75" customHeight="1" x14ac:dyDescent="0.25">
      <c r="A16" s="27" t="s">
        <v>501</v>
      </c>
      <c r="B16" s="28" t="s">
        <v>213</v>
      </c>
      <c r="C16" s="27" t="s">
        <v>524</v>
      </c>
      <c r="D16" s="28">
        <v>2</v>
      </c>
      <c r="E16" s="27" t="s">
        <v>238</v>
      </c>
      <c r="F16" s="27" t="s">
        <v>525</v>
      </c>
      <c r="G16" s="27" t="s">
        <v>526</v>
      </c>
      <c r="H16" s="27" t="s">
        <v>527</v>
      </c>
      <c r="I16" s="27" t="s">
        <v>528</v>
      </c>
      <c r="J16" s="26" t="s">
        <v>168</v>
      </c>
      <c r="K16" s="26" t="s">
        <v>168</v>
      </c>
      <c r="L16" s="26" t="s">
        <v>168</v>
      </c>
      <c r="M16" s="24" t="s">
        <v>294</v>
      </c>
      <c r="N16" s="25" t="s">
        <v>295</v>
      </c>
      <c r="O16" s="34" t="s">
        <v>27</v>
      </c>
      <c r="P16" s="34" t="s">
        <v>53</v>
      </c>
      <c r="Q16" s="27" t="s">
        <v>529</v>
      </c>
      <c r="R16" s="27" t="s">
        <v>530</v>
      </c>
      <c r="S16" s="27" t="s">
        <v>531</v>
      </c>
      <c r="T16" s="27" t="s">
        <v>298</v>
      </c>
      <c r="U16" s="38" t="s">
        <v>53</v>
      </c>
      <c r="V16" s="27" t="s">
        <v>174</v>
      </c>
    </row>
    <row r="17" spans="1:22" ht="25.5" customHeight="1" x14ac:dyDescent="0.25">
      <c r="A17" s="24" t="s">
        <v>501</v>
      </c>
      <c r="B17" s="25" t="s">
        <v>213</v>
      </c>
      <c r="C17" s="24" t="s">
        <v>532</v>
      </c>
      <c r="D17" s="25">
        <v>2</v>
      </c>
      <c r="E17" s="24" t="s">
        <v>238</v>
      </c>
      <c r="F17" s="24" t="s">
        <v>533</v>
      </c>
      <c r="G17" s="24" t="s">
        <v>534</v>
      </c>
      <c r="H17" s="24" t="s">
        <v>535</v>
      </c>
      <c r="I17" s="24" t="s">
        <v>188</v>
      </c>
      <c r="J17" s="26" t="s">
        <v>168</v>
      </c>
      <c r="K17" s="26" t="s">
        <v>168</v>
      </c>
      <c r="L17" s="26" t="s">
        <v>168</v>
      </c>
      <c r="M17" s="24" t="s">
        <v>169</v>
      </c>
      <c r="N17" s="25" t="s">
        <v>169</v>
      </c>
      <c r="O17" s="29" t="s">
        <v>29</v>
      </c>
      <c r="P17" s="33" t="s">
        <v>74</v>
      </c>
      <c r="Q17" s="24" t="s">
        <v>536</v>
      </c>
      <c r="R17" s="24" t="s">
        <v>537</v>
      </c>
      <c r="S17" s="24" t="s">
        <v>538</v>
      </c>
      <c r="T17" s="24" t="s">
        <v>183</v>
      </c>
      <c r="U17" s="32" t="s">
        <v>168</v>
      </c>
      <c r="V17" s="24" t="s">
        <v>174</v>
      </c>
    </row>
    <row r="18" spans="1:22" ht="25.5" customHeight="1" x14ac:dyDescent="0.25">
      <c r="A18" s="27" t="s">
        <v>501</v>
      </c>
      <c r="B18" s="28" t="s">
        <v>213</v>
      </c>
      <c r="C18" s="27" t="s">
        <v>539</v>
      </c>
      <c r="D18" s="28">
        <v>3</v>
      </c>
      <c r="E18" s="27" t="s">
        <v>163</v>
      </c>
      <c r="F18" s="27" t="s">
        <v>185</v>
      </c>
      <c r="G18" s="27" t="s">
        <v>540</v>
      </c>
      <c r="H18" s="27" t="s">
        <v>265</v>
      </c>
      <c r="I18" s="27" t="s">
        <v>188</v>
      </c>
      <c r="J18" s="26" t="s">
        <v>168</v>
      </c>
      <c r="K18" s="26" t="s">
        <v>168</v>
      </c>
      <c r="L18" s="26" t="s">
        <v>168</v>
      </c>
      <c r="M18" s="27" t="s">
        <v>169</v>
      </c>
      <c r="N18" s="28" t="s">
        <v>169</v>
      </c>
      <c r="O18" s="29" t="s">
        <v>29</v>
      </c>
      <c r="P18" s="33" t="s">
        <v>74</v>
      </c>
      <c r="Q18" s="27" t="s">
        <v>266</v>
      </c>
      <c r="R18" s="27" t="s">
        <v>195</v>
      </c>
      <c r="S18" s="27" t="s">
        <v>541</v>
      </c>
      <c r="T18" s="27" t="s">
        <v>183</v>
      </c>
      <c r="U18" s="31" t="s">
        <v>168</v>
      </c>
      <c r="V18" s="27" t="s">
        <v>174</v>
      </c>
    </row>
    <row r="19" spans="1:22" ht="25.5" customHeight="1" x14ac:dyDescent="0.25">
      <c r="A19" s="24" t="s">
        <v>501</v>
      </c>
      <c r="B19" s="25" t="s">
        <v>77</v>
      </c>
      <c r="C19" s="24" t="s">
        <v>542</v>
      </c>
      <c r="D19" s="25">
        <v>3</v>
      </c>
      <c r="E19" s="24" t="s">
        <v>163</v>
      </c>
      <c r="F19" s="24" t="s">
        <v>185</v>
      </c>
      <c r="G19" s="24" t="s">
        <v>261</v>
      </c>
      <c r="H19" s="24" t="s">
        <v>262</v>
      </c>
      <c r="I19" s="24" t="s">
        <v>188</v>
      </c>
      <c r="J19" s="26" t="s">
        <v>168</v>
      </c>
      <c r="K19" s="26" t="s">
        <v>168</v>
      </c>
      <c r="L19" s="26" t="s">
        <v>168</v>
      </c>
      <c r="M19" s="24" t="s">
        <v>169</v>
      </c>
      <c r="N19" s="25" t="s">
        <v>169</v>
      </c>
      <c r="O19" s="29" t="s">
        <v>29</v>
      </c>
      <c r="P19" s="26" t="s">
        <v>168</v>
      </c>
      <c r="Q19" s="24" t="s">
        <v>180</v>
      </c>
      <c r="R19" s="24" t="s">
        <v>181</v>
      </c>
      <c r="S19" s="24" t="s">
        <v>217</v>
      </c>
      <c r="T19" s="24" t="s">
        <v>183</v>
      </c>
      <c r="U19" s="32" t="s">
        <v>168</v>
      </c>
      <c r="V19" s="24" t="s">
        <v>174</v>
      </c>
    </row>
    <row r="20" spans="1:22" ht="25.5" customHeight="1" x14ac:dyDescent="0.25">
      <c r="A20" s="27" t="s">
        <v>501</v>
      </c>
      <c r="B20" s="28" t="s">
        <v>77</v>
      </c>
      <c r="C20" s="27" t="s">
        <v>543</v>
      </c>
      <c r="D20" s="28">
        <v>3</v>
      </c>
      <c r="E20" s="27" t="s">
        <v>163</v>
      </c>
      <c r="F20" s="27" t="s">
        <v>269</v>
      </c>
      <c r="G20" s="27" t="s">
        <v>544</v>
      </c>
      <c r="H20" s="27" t="s">
        <v>545</v>
      </c>
      <c r="I20" s="27" t="s">
        <v>272</v>
      </c>
      <c r="J20" s="26" t="s">
        <v>168</v>
      </c>
      <c r="K20" s="26" t="s">
        <v>168</v>
      </c>
      <c r="L20" s="26" t="s">
        <v>168</v>
      </c>
      <c r="M20" s="27" t="s">
        <v>169</v>
      </c>
      <c r="N20" s="28" t="s">
        <v>169</v>
      </c>
      <c r="O20" s="29" t="s">
        <v>29</v>
      </c>
      <c r="P20" s="33" t="s">
        <v>74</v>
      </c>
      <c r="Q20" s="27" t="s">
        <v>273</v>
      </c>
      <c r="R20" s="27" t="s">
        <v>546</v>
      </c>
      <c r="S20" s="27" t="s">
        <v>547</v>
      </c>
      <c r="T20" s="27" t="s">
        <v>173</v>
      </c>
      <c r="U20" s="31" t="s">
        <v>168</v>
      </c>
      <c r="V20" s="27" t="s">
        <v>174</v>
      </c>
    </row>
    <row r="21" spans="1:22" ht="25.5" customHeight="1" x14ac:dyDescent="0.25">
      <c r="A21" s="24" t="s">
        <v>501</v>
      </c>
      <c r="B21" s="25" t="s">
        <v>77</v>
      </c>
      <c r="C21" s="24" t="s">
        <v>548</v>
      </c>
      <c r="D21" s="25">
        <v>3</v>
      </c>
      <c r="E21" s="24" t="s">
        <v>238</v>
      </c>
      <c r="F21" s="24" t="s">
        <v>520</v>
      </c>
      <c r="G21" s="24" t="s">
        <v>549</v>
      </c>
      <c r="H21" s="24" t="s">
        <v>550</v>
      </c>
      <c r="I21" s="24" t="s">
        <v>188</v>
      </c>
      <c r="J21" s="26" t="s">
        <v>168</v>
      </c>
      <c r="K21" s="26" t="s">
        <v>168</v>
      </c>
      <c r="L21" s="26" t="s">
        <v>168</v>
      </c>
      <c r="M21" s="24" t="s">
        <v>169</v>
      </c>
      <c r="N21" s="25" t="s">
        <v>169</v>
      </c>
      <c r="O21" s="29" t="s">
        <v>29</v>
      </c>
      <c r="P21" s="26" t="s">
        <v>168</v>
      </c>
      <c r="Q21" s="24" t="s">
        <v>180</v>
      </c>
      <c r="R21" s="24" t="s">
        <v>181</v>
      </c>
      <c r="S21" s="24" t="s">
        <v>551</v>
      </c>
      <c r="T21" s="24" t="s">
        <v>183</v>
      </c>
      <c r="U21" s="32" t="s">
        <v>168</v>
      </c>
      <c r="V21" s="24" t="s">
        <v>174</v>
      </c>
    </row>
    <row r="22" spans="1:22" ht="38.25" customHeight="1" x14ac:dyDescent="0.25">
      <c r="A22" s="27" t="s">
        <v>501</v>
      </c>
      <c r="B22" s="28" t="s">
        <v>77</v>
      </c>
      <c r="C22" s="27" t="s">
        <v>276</v>
      </c>
      <c r="D22" s="28">
        <v>3</v>
      </c>
      <c r="E22" s="27" t="s">
        <v>163</v>
      </c>
      <c r="F22" s="27" t="s">
        <v>277</v>
      </c>
      <c r="G22" s="27" t="s">
        <v>552</v>
      </c>
      <c r="H22" s="27" t="s">
        <v>553</v>
      </c>
      <c r="I22" s="27" t="s">
        <v>280</v>
      </c>
      <c r="J22" s="26" t="s">
        <v>168</v>
      </c>
      <c r="K22" s="34" t="s">
        <v>53</v>
      </c>
      <c r="L22" s="26" t="s">
        <v>168</v>
      </c>
      <c r="M22" s="24" t="s">
        <v>169</v>
      </c>
      <c r="N22" s="25" t="s">
        <v>169</v>
      </c>
      <c r="O22" s="33" t="s">
        <v>28</v>
      </c>
      <c r="P22" s="33" t="s">
        <v>74</v>
      </c>
      <c r="Q22" s="27" t="s">
        <v>170</v>
      </c>
      <c r="R22" s="27" t="s">
        <v>22</v>
      </c>
      <c r="S22" s="27" t="s">
        <v>554</v>
      </c>
      <c r="T22" s="27" t="s">
        <v>248</v>
      </c>
      <c r="U22" s="37" t="s">
        <v>74</v>
      </c>
      <c r="V22" s="27" t="s">
        <v>174</v>
      </c>
    </row>
    <row r="23" spans="1:22" ht="25.5" customHeight="1" x14ac:dyDescent="0.25">
      <c r="A23" s="24" t="s">
        <v>501</v>
      </c>
      <c r="B23" s="25" t="s">
        <v>77</v>
      </c>
      <c r="C23" s="24" t="s">
        <v>555</v>
      </c>
      <c r="D23" s="25">
        <v>3</v>
      </c>
      <c r="E23" s="24" t="s">
        <v>238</v>
      </c>
      <c r="F23" s="24" t="s">
        <v>556</v>
      </c>
      <c r="G23" s="24" t="s">
        <v>557</v>
      </c>
      <c r="H23" s="24" t="s">
        <v>558</v>
      </c>
      <c r="I23" s="24" t="s">
        <v>188</v>
      </c>
      <c r="J23" s="26" t="s">
        <v>168</v>
      </c>
      <c r="K23" s="26" t="s">
        <v>168</v>
      </c>
      <c r="L23" s="26" t="s">
        <v>168</v>
      </c>
      <c r="M23" s="24" t="s">
        <v>169</v>
      </c>
      <c r="N23" s="25" t="s">
        <v>169</v>
      </c>
      <c r="O23" s="29" t="s">
        <v>29</v>
      </c>
      <c r="P23" s="26" t="s">
        <v>168</v>
      </c>
      <c r="Q23" s="24" t="s">
        <v>180</v>
      </c>
      <c r="R23" s="24" t="s">
        <v>181</v>
      </c>
      <c r="S23" s="24" t="s">
        <v>559</v>
      </c>
      <c r="T23" s="24" t="s">
        <v>183</v>
      </c>
      <c r="U23" s="32" t="s">
        <v>168</v>
      </c>
      <c r="V23" s="24" t="s">
        <v>174</v>
      </c>
    </row>
    <row r="24" spans="1:22" ht="38.25" customHeight="1" x14ac:dyDescent="0.25">
      <c r="A24" s="27" t="s">
        <v>501</v>
      </c>
      <c r="B24" s="28" t="s">
        <v>77</v>
      </c>
      <c r="C24" s="27" t="s">
        <v>78</v>
      </c>
      <c r="D24" s="28">
        <v>3</v>
      </c>
      <c r="E24" s="27" t="s">
        <v>238</v>
      </c>
      <c r="F24" s="27" t="s">
        <v>560</v>
      </c>
      <c r="G24" s="27" t="s">
        <v>561</v>
      </c>
      <c r="H24" s="27" t="s">
        <v>562</v>
      </c>
      <c r="I24" s="27" t="s">
        <v>563</v>
      </c>
      <c r="J24" s="26" t="s">
        <v>168</v>
      </c>
      <c r="K24" s="26" t="s">
        <v>168</v>
      </c>
      <c r="L24" s="26" t="s">
        <v>168</v>
      </c>
      <c r="M24" s="27" t="s">
        <v>169</v>
      </c>
      <c r="N24" s="28" t="s">
        <v>169</v>
      </c>
      <c r="O24" s="29" t="s">
        <v>29</v>
      </c>
      <c r="P24" s="33" t="s">
        <v>74</v>
      </c>
      <c r="Q24" s="27" t="s">
        <v>180</v>
      </c>
      <c r="R24" s="27" t="s">
        <v>22</v>
      </c>
      <c r="S24" s="27" t="s">
        <v>564</v>
      </c>
      <c r="T24" s="27" t="s">
        <v>298</v>
      </c>
      <c r="U24" s="38" t="s">
        <v>53</v>
      </c>
      <c r="V24" s="27" t="s">
        <v>174</v>
      </c>
    </row>
    <row r="25" spans="1:22" ht="25.5" customHeight="1" x14ac:dyDescent="0.25">
      <c r="A25" s="24" t="s">
        <v>501</v>
      </c>
      <c r="B25" s="25" t="s">
        <v>54</v>
      </c>
      <c r="C25" s="24" t="s">
        <v>301</v>
      </c>
      <c r="D25" s="25">
        <v>3</v>
      </c>
      <c r="E25" s="24" t="s">
        <v>163</v>
      </c>
      <c r="F25" s="24" t="s">
        <v>185</v>
      </c>
      <c r="G25" s="24" t="s">
        <v>302</v>
      </c>
      <c r="H25" s="24" t="s">
        <v>303</v>
      </c>
      <c r="I25" s="24" t="s">
        <v>188</v>
      </c>
      <c r="J25" s="26" t="s">
        <v>168</v>
      </c>
      <c r="K25" s="26" t="s">
        <v>168</v>
      </c>
      <c r="L25" s="26" t="s">
        <v>168</v>
      </c>
      <c r="M25" s="24" t="s">
        <v>169</v>
      </c>
      <c r="N25" s="25" t="s">
        <v>169</v>
      </c>
      <c r="O25" s="29" t="s">
        <v>29</v>
      </c>
      <c r="P25" s="26" t="s">
        <v>168</v>
      </c>
      <c r="Q25" s="24" t="s">
        <v>180</v>
      </c>
      <c r="R25" s="24" t="s">
        <v>181</v>
      </c>
      <c r="S25" s="24" t="s">
        <v>217</v>
      </c>
      <c r="T25" s="24" t="s">
        <v>183</v>
      </c>
      <c r="U25" s="32" t="s">
        <v>168</v>
      </c>
      <c r="V25" s="24" t="s">
        <v>174</v>
      </c>
    </row>
    <row r="26" spans="1:22" ht="63.75" customHeight="1" x14ac:dyDescent="0.25">
      <c r="A26" s="27" t="s">
        <v>501</v>
      </c>
      <c r="B26" s="28" t="s">
        <v>54</v>
      </c>
      <c r="C26" s="27" t="s">
        <v>65</v>
      </c>
      <c r="D26" s="28">
        <v>2</v>
      </c>
      <c r="E26" s="27" t="s">
        <v>202</v>
      </c>
      <c r="F26" s="27" t="s">
        <v>203</v>
      </c>
      <c r="G26" s="27" t="s">
        <v>565</v>
      </c>
      <c r="H26" s="27" t="s">
        <v>375</v>
      </c>
      <c r="I26" s="27" t="s">
        <v>566</v>
      </c>
      <c r="J26" s="26" t="s">
        <v>168</v>
      </c>
      <c r="K26" s="26" t="s">
        <v>168</v>
      </c>
      <c r="L26" s="26" t="s">
        <v>168</v>
      </c>
      <c r="M26" s="27" t="s">
        <v>377</v>
      </c>
      <c r="N26" s="28" t="s">
        <v>378</v>
      </c>
      <c r="O26" s="34" t="s">
        <v>27</v>
      </c>
      <c r="P26" s="33" t="s">
        <v>74</v>
      </c>
      <c r="Q26" s="27" t="s">
        <v>379</v>
      </c>
      <c r="R26" s="27" t="s">
        <v>66</v>
      </c>
      <c r="S26" s="27" t="s">
        <v>567</v>
      </c>
      <c r="T26" s="27" t="s">
        <v>173</v>
      </c>
      <c r="U26" s="38" t="s">
        <v>53</v>
      </c>
      <c r="V26" s="27" t="s">
        <v>174</v>
      </c>
    </row>
    <row r="27" spans="1:22" ht="25.5" customHeight="1" x14ac:dyDescent="0.25">
      <c r="A27" s="24" t="s">
        <v>501</v>
      </c>
      <c r="B27" s="25" t="s">
        <v>54</v>
      </c>
      <c r="C27" s="24" t="s">
        <v>568</v>
      </c>
      <c r="D27" s="25">
        <v>3</v>
      </c>
      <c r="E27" s="24" t="s">
        <v>238</v>
      </c>
      <c r="F27" s="24" t="s">
        <v>569</v>
      </c>
      <c r="G27" s="24" t="s">
        <v>570</v>
      </c>
      <c r="H27" s="24" t="s">
        <v>571</v>
      </c>
      <c r="I27" s="24" t="s">
        <v>188</v>
      </c>
      <c r="J27" s="26" t="s">
        <v>168</v>
      </c>
      <c r="K27" s="26" t="s">
        <v>168</v>
      </c>
      <c r="L27" s="26" t="s">
        <v>168</v>
      </c>
      <c r="M27" s="24" t="s">
        <v>169</v>
      </c>
      <c r="N27" s="25" t="s">
        <v>169</v>
      </c>
      <c r="O27" s="29" t="s">
        <v>29</v>
      </c>
      <c r="P27" s="26" t="s">
        <v>168</v>
      </c>
      <c r="Q27" s="24" t="s">
        <v>180</v>
      </c>
      <c r="R27" s="24" t="s">
        <v>181</v>
      </c>
      <c r="S27" s="24" t="s">
        <v>559</v>
      </c>
      <c r="T27" s="24" t="s">
        <v>183</v>
      </c>
      <c r="U27" s="32" t="s">
        <v>168</v>
      </c>
      <c r="V27" s="24" t="s">
        <v>174</v>
      </c>
    </row>
    <row r="28" spans="1:22" ht="25.5" customHeight="1" x14ac:dyDescent="0.25">
      <c r="A28" s="27" t="s">
        <v>501</v>
      </c>
      <c r="B28" s="28" t="s">
        <v>54</v>
      </c>
      <c r="C28" s="27" t="s">
        <v>572</v>
      </c>
      <c r="D28" s="28">
        <v>3</v>
      </c>
      <c r="E28" s="27" t="s">
        <v>238</v>
      </c>
      <c r="F28" s="27" t="s">
        <v>520</v>
      </c>
      <c r="G28" s="27" t="s">
        <v>573</v>
      </c>
      <c r="H28" s="27" t="s">
        <v>574</v>
      </c>
      <c r="I28" s="27" t="s">
        <v>188</v>
      </c>
      <c r="J28" s="26" t="s">
        <v>168</v>
      </c>
      <c r="K28" s="26" t="s">
        <v>168</v>
      </c>
      <c r="L28" s="26" t="s">
        <v>168</v>
      </c>
      <c r="M28" s="27" t="s">
        <v>169</v>
      </c>
      <c r="N28" s="28" t="s">
        <v>169</v>
      </c>
      <c r="O28" s="29" t="s">
        <v>29</v>
      </c>
      <c r="P28" s="26" t="s">
        <v>168</v>
      </c>
      <c r="Q28" s="27" t="s">
        <v>180</v>
      </c>
      <c r="R28" s="27" t="s">
        <v>181</v>
      </c>
      <c r="S28" s="27" t="s">
        <v>575</v>
      </c>
      <c r="T28" s="27" t="s">
        <v>183</v>
      </c>
      <c r="U28" s="31" t="s">
        <v>168</v>
      </c>
      <c r="V28" s="27" t="s">
        <v>174</v>
      </c>
    </row>
    <row r="29" spans="1:22" ht="25.5" customHeight="1" x14ac:dyDescent="0.25">
      <c r="A29" s="24" t="s">
        <v>501</v>
      </c>
      <c r="B29" s="25" t="s">
        <v>54</v>
      </c>
      <c r="C29" s="24" t="s">
        <v>299</v>
      </c>
      <c r="D29" s="25">
        <v>2</v>
      </c>
      <c r="E29" s="24" t="s">
        <v>250</v>
      </c>
      <c r="F29" s="24" t="s">
        <v>251</v>
      </c>
      <c r="G29" s="24" t="s">
        <v>252</v>
      </c>
      <c r="H29" s="24" t="s">
        <v>252</v>
      </c>
      <c r="I29" s="24" t="s">
        <v>253</v>
      </c>
      <c r="J29" s="36" t="s">
        <v>254</v>
      </c>
      <c r="K29" s="36" t="s">
        <v>254</v>
      </c>
      <c r="L29" s="36" t="s">
        <v>254</v>
      </c>
      <c r="M29" s="24" t="s">
        <v>255</v>
      </c>
      <c r="N29" s="25" t="s">
        <v>169</v>
      </c>
      <c r="O29" s="36" t="s">
        <v>30</v>
      </c>
      <c r="P29" s="36" t="s">
        <v>254</v>
      </c>
      <c r="Q29" s="24" t="s">
        <v>256</v>
      </c>
      <c r="R29" s="24" t="s">
        <v>257</v>
      </c>
      <c r="S29" s="24" t="s">
        <v>300</v>
      </c>
      <c r="T29" s="24" t="s">
        <v>259</v>
      </c>
      <c r="U29" s="30" t="s">
        <v>74</v>
      </c>
      <c r="V29" s="24" t="s">
        <v>252</v>
      </c>
    </row>
    <row r="30" spans="1:22" ht="25.5" customHeight="1" x14ac:dyDescent="0.25">
      <c r="A30" s="27" t="s">
        <v>501</v>
      </c>
      <c r="B30" s="28" t="s">
        <v>54</v>
      </c>
      <c r="C30" s="27" t="s">
        <v>449</v>
      </c>
      <c r="D30" s="28">
        <v>2</v>
      </c>
      <c r="E30" s="27" t="s">
        <v>202</v>
      </c>
      <c r="F30" s="27" t="s">
        <v>203</v>
      </c>
      <c r="G30" s="27" t="s">
        <v>450</v>
      </c>
      <c r="H30" s="27" t="s">
        <v>451</v>
      </c>
      <c r="I30" s="27" t="s">
        <v>188</v>
      </c>
      <c r="J30" s="26" t="s">
        <v>168</v>
      </c>
      <c r="K30" s="26" t="s">
        <v>168</v>
      </c>
      <c r="L30" s="26" t="s">
        <v>168</v>
      </c>
      <c r="M30" s="27" t="s">
        <v>169</v>
      </c>
      <c r="N30" s="28" t="s">
        <v>169</v>
      </c>
      <c r="O30" s="29" t="s">
        <v>29</v>
      </c>
      <c r="P30" s="26" t="s">
        <v>168</v>
      </c>
      <c r="Q30" s="27" t="s">
        <v>180</v>
      </c>
      <c r="R30" s="27" t="s">
        <v>181</v>
      </c>
      <c r="S30" s="27" t="s">
        <v>452</v>
      </c>
      <c r="T30" s="27" t="s">
        <v>183</v>
      </c>
      <c r="U30" s="31" t="s">
        <v>168</v>
      </c>
      <c r="V30" s="27" t="s">
        <v>174</v>
      </c>
    </row>
    <row r="31" spans="1:22" ht="38.25" customHeight="1" x14ac:dyDescent="0.25">
      <c r="A31" s="24" t="s">
        <v>501</v>
      </c>
      <c r="B31" s="25" t="s">
        <v>54</v>
      </c>
      <c r="C31" s="24" t="s">
        <v>69</v>
      </c>
      <c r="D31" s="25">
        <v>3</v>
      </c>
      <c r="E31" s="24" t="s">
        <v>238</v>
      </c>
      <c r="F31" s="24" t="s">
        <v>560</v>
      </c>
      <c r="G31" s="24" t="s">
        <v>576</v>
      </c>
      <c r="H31" s="24" t="s">
        <v>577</v>
      </c>
      <c r="I31" s="24" t="s">
        <v>578</v>
      </c>
      <c r="J31" s="26" t="s">
        <v>168</v>
      </c>
      <c r="K31" s="26" t="s">
        <v>168</v>
      </c>
      <c r="L31" s="26" t="s">
        <v>168</v>
      </c>
      <c r="M31" s="27" t="s">
        <v>169</v>
      </c>
      <c r="N31" s="28" t="s">
        <v>169</v>
      </c>
      <c r="O31" s="29" t="s">
        <v>29</v>
      </c>
      <c r="P31" s="33" t="s">
        <v>74</v>
      </c>
      <c r="Q31" s="24" t="s">
        <v>170</v>
      </c>
      <c r="R31" s="24" t="s">
        <v>579</v>
      </c>
      <c r="S31" s="24" t="s">
        <v>580</v>
      </c>
      <c r="T31" s="24" t="s">
        <v>298</v>
      </c>
      <c r="U31" s="35" t="s">
        <v>53</v>
      </c>
      <c r="V31" s="24" t="s">
        <v>174</v>
      </c>
    </row>
    <row r="32" spans="1:22" ht="25.5" customHeight="1" x14ac:dyDescent="0.25">
      <c r="A32" s="27" t="s">
        <v>501</v>
      </c>
      <c r="B32" s="28" t="s">
        <v>58</v>
      </c>
      <c r="C32" s="27" t="s">
        <v>581</v>
      </c>
      <c r="D32" s="28">
        <v>3</v>
      </c>
      <c r="E32" s="27" t="s">
        <v>163</v>
      </c>
      <c r="F32" s="27" t="s">
        <v>185</v>
      </c>
      <c r="G32" s="27" t="s">
        <v>582</v>
      </c>
      <c r="H32" s="27" t="s">
        <v>583</v>
      </c>
      <c r="I32" s="27" t="s">
        <v>188</v>
      </c>
      <c r="J32" s="26" t="s">
        <v>168</v>
      </c>
      <c r="K32" s="26" t="s">
        <v>168</v>
      </c>
      <c r="L32" s="26" t="s">
        <v>168</v>
      </c>
      <c r="M32" s="27" t="s">
        <v>169</v>
      </c>
      <c r="N32" s="28" t="s">
        <v>169</v>
      </c>
      <c r="O32" s="29" t="s">
        <v>29</v>
      </c>
      <c r="P32" s="26" t="s">
        <v>168</v>
      </c>
      <c r="Q32" s="27" t="s">
        <v>180</v>
      </c>
      <c r="R32" s="27" t="s">
        <v>181</v>
      </c>
      <c r="S32" s="27" t="s">
        <v>217</v>
      </c>
      <c r="T32" s="27" t="s">
        <v>183</v>
      </c>
      <c r="U32" s="31" t="s">
        <v>168</v>
      </c>
      <c r="V32" s="27" t="s">
        <v>174</v>
      </c>
    </row>
    <row r="33" spans="1:22" ht="25.5" customHeight="1" x14ac:dyDescent="0.25">
      <c r="A33" s="24" t="s">
        <v>501</v>
      </c>
      <c r="B33" s="25" t="s">
        <v>58</v>
      </c>
      <c r="C33" s="24" t="s">
        <v>584</v>
      </c>
      <c r="D33" s="25">
        <v>3</v>
      </c>
      <c r="E33" s="24" t="s">
        <v>238</v>
      </c>
      <c r="F33" s="24" t="s">
        <v>585</v>
      </c>
      <c r="G33" s="24" t="s">
        <v>586</v>
      </c>
      <c r="H33" s="24" t="s">
        <v>587</v>
      </c>
      <c r="I33" s="24" t="s">
        <v>188</v>
      </c>
      <c r="J33" s="26" t="s">
        <v>168</v>
      </c>
      <c r="K33" s="26" t="s">
        <v>168</v>
      </c>
      <c r="L33" s="26" t="s">
        <v>168</v>
      </c>
      <c r="M33" s="24" t="s">
        <v>169</v>
      </c>
      <c r="N33" s="25" t="s">
        <v>169</v>
      </c>
      <c r="O33" s="29" t="s">
        <v>29</v>
      </c>
      <c r="P33" s="26" t="s">
        <v>168</v>
      </c>
      <c r="Q33" s="24" t="s">
        <v>180</v>
      </c>
      <c r="R33" s="24" t="s">
        <v>181</v>
      </c>
      <c r="S33" s="24" t="s">
        <v>588</v>
      </c>
      <c r="T33" s="24" t="s">
        <v>183</v>
      </c>
      <c r="U33" s="32" t="s">
        <v>168</v>
      </c>
      <c r="V33" s="24" t="s">
        <v>174</v>
      </c>
    </row>
    <row r="34" spans="1:22" ht="25.5" customHeight="1" x14ac:dyDescent="0.25">
      <c r="A34" s="27" t="s">
        <v>501</v>
      </c>
      <c r="B34" s="28" t="s">
        <v>58</v>
      </c>
      <c r="C34" s="27" t="s">
        <v>589</v>
      </c>
      <c r="D34" s="28">
        <v>3</v>
      </c>
      <c r="E34" s="27" t="s">
        <v>238</v>
      </c>
      <c r="F34" s="27" t="s">
        <v>569</v>
      </c>
      <c r="G34" s="27" t="s">
        <v>590</v>
      </c>
      <c r="H34" s="27" t="s">
        <v>591</v>
      </c>
      <c r="I34" s="27" t="s">
        <v>188</v>
      </c>
      <c r="J34" s="26" t="s">
        <v>168</v>
      </c>
      <c r="K34" s="26" t="s">
        <v>168</v>
      </c>
      <c r="L34" s="26" t="s">
        <v>168</v>
      </c>
      <c r="M34" s="27" t="s">
        <v>169</v>
      </c>
      <c r="N34" s="28" t="s">
        <v>169</v>
      </c>
      <c r="O34" s="29" t="s">
        <v>29</v>
      </c>
      <c r="P34" s="26" t="s">
        <v>168</v>
      </c>
      <c r="Q34" s="27" t="s">
        <v>180</v>
      </c>
      <c r="R34" s="27" t="s">
        <v>181</v>
      </c>
      <c r="S34" s="27" t="s">
        <v>559</v>
      </c>
      <c r="T34" s="27" t="s">
        <v>183</v>
      </c>
      <c r="U34" s="31" t="s">
        <v>168</v>
      </c>
      <c r="V34" s="27" t="s">
        <v>174</v>
      </c>
    </row>
    <row r="35" spans="1:22" ht="25.5" customHeight="1" x14ac:dyDescent="0.25">
      <c r="A35" s="24" t="s">
        <v>501</v>
      </c>
      <c r="B35" s="25" t="s">
        <v>58</v>
      </c>
      <c r="C35" s="24" t="s">
        <v>592</v>
      </c>
      <c r="D35" s="25">
        <v>3</v>
      </c>
      <c r="E35" s="24" t="s">
        <v>238</v>
      </c>
      <c r="F35" s="24" t="s">
        <v>283</v>
      </c>
      <c r="G35" s="24" t="s">
        <v>593</v>
      </c>
      <c r="H35" s="24" t="s">
        <v>285</v>
      </c>
      <c r="I35" s="24" t="s">
        <v>286</v>
      </c>
      <c r="J35" s="26" t="s">
        <v>168</v>
      </c>
      <c r="K35" s="26" t="s">
        <v>168</v>
      </c>
      <c r="L35" s="26" t="s">
        <v>168</v>
      </c>
      <c r="M35" s="27" t="s">
        <v>169</v>
      </c>
      <c r="N35" s="28" t="s">
        <v>169</v>
      </c>
      <c r="O35" s="29" t="s">
        <v>29</v>
      </c>
      <c r="P35" s="26" t="s">
        <v>168</v>
      </c>
      <c r="Q35" s="24" t="s">
        <v>170</v>
      </c>
      <c r="R35" s="24" t="s">
        <v>287</v>
      </c>
      <c r="S35" s="24" t="s">
        <v>594</v>
      </c>
      <c r="T35" s="24" t="s">
        <v>248</v>
      </c>
      <c r="U35" s="30" t="s">
        <v>74</v>
      </c>
      <c r="V35" s="24" t="s">
        <v>174</v>
      </c>
    </row>
    <row r="36" spans="1:22" ht="63.75" customHeight="1" x14ac:dyDescent="0.25">
      <c r="A36" s="27" t="s">
        <v>501</v>
      </c>
      <c r="B36" s="28" t="s">
        <v>58</v>
      </c>
      <c r="C36" s="27" t="s">
        <v>59</v>
      </c>
      <c r="D36" s="28">
        <v>3</v>
      </c>
      <c r="E36" s="27" t="s">
        <v>238</v>
      </c>
      <c r="F36" s="27" t="s">
        <v>595</v>
      </c>
      <c r="G36" s="27" t="s">
        <v>596</v>
      </c>
      <c r="H36" s="27" t="s">
        <v>597</v>
      </c>
      <c r="I36" s="27" t="s">
        <v>598</v>
      </c>
      <c r="J36" s="26" t="s">
        <v>168</v>
      </c>
      <c r="K36" s="26" t="s">
        <v>168</v>
      </c>
      <c r="L36" s="26" t="s">
        <v>168</v>
      </c>
      <c r="M36" s="27" t="s">
        <v>169</v>
      </c>
      <c r="N36" s="28" t="s">
        <v>169</v>
      </c>
      <c r="O36" s="29" t="s">
        <v>29</v>
      </c>
      <c r="P36" s="33" t="s">
        <v>74</v>
      </c>
      <c r="Q36" s="27" t="s">
        <v>170</v>
      </c>
      <c r="R36" s="27" t="s">
        <v>579</v>
      </c>
      <c r="S36" s="27" t="s">
        <v>599</v>
      </c>
      <c r="T36" s="27" t="s">
        <v>298</v>
      </c>
      <c r="U36" s="38" t="s">
        <v>53</v>
      </c>
      <c r="V36" s="27" t="s">
        <v>174</v>
      </c>
    </row>
    <row r="37" spans="1:22" ht="25.5" customHeight="1" x14ac:dyDescent="0.25">
      <c r="A37" s="24" t="s">
        <v>501</v>
      </c>
      <c r="B37" s="25" t="s">
        <v>58</v>
      </c>
      <c r="C37" s="24" t="s">
        <v>600</v>
      </c>
      <c r="D37" s="25">
        <v>3</v>
      </c>
      <c r="E37" s="24" t="s">
        <v>238</v>
      </c>
      <c r="F37" s="24" t="s">
        <v>520</v>
      </c>
      <c r="G37" s="24" t="s">
        <v>601</v>
      </c>
      <c r="H37" s="24" t="s">
        <v>602</v>
      </c>
      <c r="I37" s="24" t="s">
        <v>188</v>
      </c>
      <c r="J37" s="26" t="s">
        <v>168</v>
      </c>
      <c r="K37" s="26" t="s">
        <v>168</v>
      </c>
      <c r="L37" s="26" t="s">
        <v>168</v>
      </c>
      <c r="M37" s="24" t="s">
        <v>169</v>
      </c>
      <c r="N37" s="25" t="s">
        <v>169</v>
      </c>
      <c r="O37" s="29" t="s">
        <v>29</v>
      </c>
      <c r="P37" s="26" t="s">
        <v>168</v>
      </c>
      <c r="Q37" s="24" t="s">
        <v>180</v>
      </c>
      <c r="R37" s="24" t="s">
        <v>181</v>
      </c>
      <c r="S37" s="24" t="s">
        <v>575</v>
      </c>
      <c r="T37" s="24" t="s">
        <v>183</v>
      </c>
      <c r="U37" s="32" t="s">
        <v>168</v>
      </c>
      <c r="V37" s="24" t="s">
        <v>174</v>
      </c>
    </row>
    <row r="38" spans="1:22" ht="63.75" customHeight="1" x14ac:dyDescent="0.25">
      <c r="A38" s="27" t="s">
        <v>501</v>
      </c>
      <c r="B38" s="28" t="s">
        <v>61</v>
      </c>
      <c r="C38" s="27" t="s">
        <v>56</v>
      </c>
      <c r="D38" s="28">
        <v>3</v>
      </c>
      <c r="E38" s="27" t="s">
        <v>238</v>
      </c>
      <c r="F38" s="27" t="s">
        <v>437</v>
      </c>
      <c r="G38" s="27" t="s">
        <v>438</v>
      </c>
      <c r="H38" s="27" t="s">
        <v>603</v>
      </c>
      <c r="I38" s="27" t="s">
        <v>440</v>
      </c>
      <c r="J38" s="26" t="s">
        <v>168</v>
      </c>
      <c r="K38" s="26" t="s">
        <v>168</v>
      </c>
      <c r="L38" s="34" t="s">
        <v>53</v>
      </c>
      <c r="M38" s="24" t="s">
        <v>169</v>
      </c>
      <c r="N38" s="25" t="s">
        <v>169</v>
      </c>
      <c r="O38" s="29" t="s">
        <v>29</v>
      </c>
      <c r="P38" s="33" t="s">
        <v>74</v>
      </c>
      <c r="Q38" s="27" t="s">
        <v>245</v>
      </c>
      <c r="R38" s="27" t="s">
        <v>604</v>
      </c>
      <c r="S38" s="27" t="s">
        <v>605</v>
      </c>
      <c r="T38" s="27" t="s">
        <v>298</v>
      </c>
      <c r="U38" s="38" t="s">
        <v>53</v>
      </c>
      <c r="V38" s="27" t="s">
        <v>174</v>
      </c>
    </row>
    <row r="39" spans="1:22" ht="25.5" customHeight="1" x14ac:dyDescent="0.25">
      <c r="A39" s="24" t="s">
        <v>501</v>
      </c>
      <c r="B39" s="25" t="s">
        <v>61</v>
      </c>
      <c r="C39" s="24" t="s">
        <v>606</v>
      </c>
      <c r="D39" s="25">
        <v>3</v>
      </c>
      <c r="E39" s="24" t="s">
        <v>238</v>
      </c>
      <c r="F39" s="24" t="s">
        <v>520</v>
      </c>
      <c r="G39" s="24" t="s">
        <v>607</v>
      </c>
      <c r="H39" s="24" t="s">
        <v>608</v>
      </c>
      <c r="I39" s="24" t="s">
        <v>609</v>
      </c>
      <c r="J39" s="26" t="s">
        <v>168</v>
      </c>
      <c r="K39" s="26" t="s">
        <v>168</v>
      </c>
      <c r="L39" s="26" t="s">
        <v>168</v>
      </c>
      <c r="M39" s="24" t="s">
        <v>169</v>
      </c>
      <c r="N39" s="25" t="s">
        <v>169</v>
      </c>
      <c r="O39" s="29" t="s">
        <v>29</v>
      </c>
      <c r="P39" s="26" t="s">
        <v>168</v>
      </c>
      <c r="Q39" s="24" t="s">
        <v>180</v>
      </c>
      <c r="R39" s="24" t="s">
        <v>610</v>
      </c>
      <c r="S39" s="24" t="s">
        <v>611</v>
      </c>
      <c r="T39" s="24" t="s">
        <v>173</v>
      </c>
      <c r="U39" s="32" t="s">
        <v>168</v>
      </c>
      <c r="V39" s="24" t="s">
        <v>174</v>
      </c>
    </row>
    <row r="40" spans="1:22" ht="25.5" customHeight="1" x14ac:dyDescent="0.25">
      <c r="A40" s="27" t="s">
        <v>501</v>
      </c>
      <c r="B40" s="28" t="s">
        <v>61</v>
      </c>
      <c r="C40" s="27" t="s">
        <v>381</v>
      </c>
      <c r="D40" s="28">
        <v>2</v>
      </c>
      <c r="E40" s="27" t="s">
        <v>250</v>
      </c>
      <c r="F40" s="27" t="s">
        <v>251</v>
      </c>
      <c r="G40" s="27" t="s">
        <v>252</v>
      </c>
      <c r="H40" s="27" t="s">
        <v>252</v>
      </c>
      <c r="I40" s="27" t="s">
        <v>253</v>
      </c>
      <c r="J40" s="36" t="s">
        <v>254</v>
      </c>
      <c r="K40" s="36" t="s">
        <v>254</v>
      </c>
      <c r="L40" s="36" t="s">
        <v>254</v>
      </c>
      <c r="M40" s="27" t="s">
        <v>255</v>
      </c>
      <c r="N40" s="28" t="s">
        <v>169</v>
      </c>
      <c r="O40" s="36" t="s">
        <v>30</v>
      </c>
      <c r="P40" s="36" t="s">
        <v>254</v>
      </c>
      <c r="Q40" s="27" t="s">
        <v>256</v>
      </c>
      <c r="R40" s="27" t="s">
        <v>257</v>
      </c>
      <c r="S40" s="27" t="s">
        <v>300</v>
      </c>
      <c r="T40" s="27" t="s">
        <v>259</v>
      </c>
      <c r="U40" s="37" t="s">
        <v>74</v>
      </c>
      <c r="V40" s="27" t="s">
        <v>252</v>
      </c>
    </row>
    <row r="41" spans="1:22" ht="25.5" customHeight="1" x14ac:dyDescent="0.25">
      <c r="A41" s="24" t="s">
        <v>501</v>
      </c>
      <c r="B41" s="25" t="s">
        <v>61</v>
      </c>
      <c r="C41" s="24" t="s">
        <v>612</v>
      </c>
      <c r="D41" s="25">
        <v>2</v>
      </c>
      <c r="E41" s="24" t="s">
        <v>238</v>
      </c>
      <c r="F41" s="24" t="s">
        <v>269</v>
      </c>
      <c r="G41" s="24" t="s">
        <v>341</v>
      </c>
      <c r="H41" s="24" t="s">
        <v>613</v>
      </c>
      <c r="I41" s="24" t="s">
        <v>614</v>
      </c>
      <c r="J41" s="26" t="s">
        <v>168</v>
      </c>
      <c r="K41" s="26" t="s">
        <v>168</v>
      </c>
      <c r="L41" s="26" t="s">
        <v>168</v>
      </c>
      <c r="M41" s="24" t="s">
        <v>169</v>
      </c>
      <c r="N41" s="25" t="s">
        <v>169</v>
      </c>
      <c r="O41" s="29" t="s">
        <v>29</v>
      </c>
      <c r="P41" s="34" t="s">
        <v>53</v>
      </c>
      <c r="Q41" s="24" t="s">
        <v>615</v>
      </c>
      <c r="R41" s="24" t="s">
        <v>616</v>
      </c>
      <c r="S41" s="24" t="s">
        <v>617</v>
      </c>
      <c r="T41" s="24" t="s">
        <v>173</v>
      </c>
      <c r="U41" s="30" t="s">
        <v>74</v>
      </c>
      <c r="V41" s="24" t="s">
        <v>174</v>
      </c>
    </row>
    <row r="42" spans="1:22" ht="38.25" customHeight="1" x14ac:dyDescent="0.25">
      <c r="A42" s="27" t="s">
        <v>501</v>
      </c>
      <c r="B42" s="28" t="s">
        <v>61</v>
      </c>
      <c r="C42" s="27" t="s">
        <v>618</v>
      </c>
      <c r="D42" s="28">
        <v>2</v>
      </c>
      <c r="E42" s="27" t="s">
        <v>238</v>
      </c>
      <c r="F42" s="27" t="s">
        <v>569</v>
      </c>
      <c r="G42" s="27" t="s">
        <v>619</v>
      </c>
      <c r="H42" s="27" t="s">
        <v>620</v>
      </c>
      <c r="I42" s="27" t="s">
        <v>621</v>
      </c>
      <c r="J42" s="26" t="s">
        <v>168</v>
      </c>
      <c r="K42" s="26" t="s">
        <v>168</v>
      </c>
      <c r="L42" s="26" t="s">
        <v>168</v>
      </c>
      <c r="M42" s="24" t="s">
        <v>169</v>
      </c>
      <c r="N42" s="25" t="s">
        <v>169</v>
      </c>
      <c r="O42" s="29" t="s">
        <v>29</v>
      </c>
      <c r="P42" s="33" t="s">
        <v>74</v>
      </c>
      <c r="Q42" s="27" t="s">
        <v>622</v>
      </c>
      <c r="R42" s="27" t="s">
        <v>623</v>
      </c>
      <c r="S42" s="27" t="s">
        <v>624</v>
      </c>
      <c r="T42" s="27" t="s">
        <v>173</v>
      </c>
      <c r="U42" s="31" t="s">
        <v>168</v>
      </c>
      <c r="V42" s="27" t="s">
        <v>174</v>
      </c>
    </row>
    <row r="43" spans="1:22" ht="38.25" customHeight="1" x14ac:dyDescent="0.25">
      <c r="A43" s="24" t="s">
        <v>501</v>
      </c>
      <c r="B43" s="25" t="s">
        <v>61</v>
      </c>
      <c r="C43" s="24" t="s">
        <v>625</v>
      </c>
      <c r="D43" s="25">
        <v>3</v>
      </c>
      <c r="E43" s="24" t="s">
        <v>238</v>
      </c>
      <c r="F43" s="24" t="s">
        <v>626</v>
      </c>
      <c r="G43" s="24" t="s">
        <v>627</v>
      </c>
      <c r="H43" s="24" t="s">
        <v>628</v>
      </c>
      <c r="I43" s="24" t="s">
        <v>193</v>
      </c>
      <c r="J43" s="26" t="s">
        <v>168</v>
      </c>
      <c r="K43" s="26" t="s">
        <v>168</v>
      </c>
      <c r="L43" s="26" t="s">
        <v>168</v>
      </c>
      <c r="M43" s="24" t="s">
        <v>169</v>
      </c>
      <c r="N43" s="25" t="s">
        <v>169</v>
      </c>
      <c r="O43" s="29" t="s">
        <v>29</v>
      </c>
      <c r="P43" s="33" t="s">
        <v>74</v>
      </c>
      <c r="Q43" s="24" t="s">
        <v>629</v>
      </c>
      <c r="R43" s="24" t="s">
        <v>181</v>
      </c>
      <c r="S43" s="24" t="s">
        <v>630</v>
      </c>
      <c r="T43" s="24" t="s">
        <v>183</v>
      </c>
      <c r="U43" s="32" t="s">
        <v>168</v>
      </c>
      <c r="V43" s="24" t="s">
        <v>174</v>
      </c>
    </row>
    <row r="44" spans="1:22" ht="25.5" customHeight="1" x14ac:dyDescent="0.25">
      <c r="A44" s="27" t="s">
        <v>501</v>
      </c>
      <c r="B44" s="28" t="s">
        <v>61</v>
      </c>
      <c r="C44" s="27" t="s">
        <v>416</v>
      </c>
      <c r="D44" s="28">
        <v>3</v>
      </c>
      <c r="E44" s="27" t="s">
        <v>417</v>
      </c>
      <c r="F44" s="27" t="s">
        <v>418</v>
      </c>
      <c r="G44" s="27" t="s">
        <v>252</v>
      </c>
      <c r="H44" s="27" t="s">
        <v>252</v>
      </c>
      <c r="I44" s="27" t="s">
        <v>253</v>
      </c>
      <c r="J44" s="36" t="s">
        <v>254</v>
      </c>
      <c r="K44" s="36" t="s">
        <v>254</v>
      </c>
      <c r="L44" s="36" t="s">
        <v>254</v>
      </c>
      <c r="M44" s="27" t="s">
        <v>255</v>
      </c>
      <c r="N44" s="28" t="s">
        <v>169</v>
      </c>
      <c r="O44" s="36" t="s">
        <v>30</v>
      </c>
      <c r="P44" s="36" t="s">
        <v>254</v>
      </c>
      <c r="Q44" s="27" t="s">
        <v>256</v>
      </c>
      <c r="R44" s="27" t="s">
        <v>419</v>
      </c>
      <c r="S44" s="27" t="s">
        <v>631</v>
      </c>
      <c r="T44" s="27" t="s">
        <v>421</v>
      </c>
      <c r="U44" s="37" t="s">
        <v>74</v>
      </c>
      <c r="V44" s="27" t="s">
        <v>252</v>
      </c>
    </row>
    <row r="45" spans="1:22" ht="38.25" customHeight="1" x14ac:dyDescent="0.25">
      <c r="A45" s="24" t="s">
        <v>501</v>
      </c>
      <c r="B45" s="25" t="s">
        <v>51</v>
      </c>
      <c r="C45" s="24" t="s">
        <v>632</v>
      </c>
      <c r="D45" s="25">
        <v>2</v>
      </c>
      <c r="E45" s="24" t="s">
        <v>238</v>
      </c>
      <c r="F45" s="24" t="s">
        <v>633</v>
      </c>
      <c r="G45" s="24" t="s">
        <v>634</v>
      </c>
      <c r="H45" s="24" t="s">
        <v>635</v>
      </c>
      <c r="I45" s="24" t="s">
        <v>636</v>
      </c>
      <c r="J45" s="26" t="s">
        <v>168</v>
      </c>
      <c r="K45" s="26" t="s">
        <v>168</v>
      </c>
      <c r="L45" s="26" t="s">
        <v>168</v>
      </c>
      <c r="M45" s="27" t="s">
        <v>169</v>
      </c>
      <c r="N45" s="28" t="s">
        <v>169</v>
      </c>
      <c r="O45" s="33" t="s">
        <v>28</v>
      </c>
      <c r="P45" s="34" t="s">
        <v>53</v>
      </c>
      <c r="Q45" s="24" t="s">
        <v>637</v>
      </c>
      <c r="R45" s="24" t="s">
        <v>638</v>
      </c>
      <c r="S45" s="24" t="s">
        <v>639</v>
      </c>
      <c r="T45" s="24" t="s">
        <v>248</v>
      </c>
      <c r="U45" s="35" t="s">
        <v>53</v>
      </c>
      <c r="V45" s="24" t="s">
        <v>174</v>
      </c>
    </row>
    <row r="46" spans="1:22" ht="25.5" customHeight="1" x14ac:dyDescent="0.25">
      <c r="A46" s="27" t="s">
        <v>501</v>
      </c>
      <c r="B46" s="28" t="s">
        <v>51</v>
      </c>
      <c r="C46" s="27" t="s">
        <v>640</v>
      </c>
      <c r="D46" s="28">
        <v>3</v>
      </c>
      <c r="E46" s="27" t="s">
        <v>163</v>
      </c>
      <c r="F46" s="27" t="s">
        <v>444</v>
      </c>
      <c r="G46" s="27" t="s">
        <v>445</v>
      </c>
      <c r="H46" s="27" t="s">
        <v>446</v>
      </c>
      <c r="I46" s="27" t="s">
        <v>168</v>
      </c>
      <c r="J46" s="26" t="s">
        <v>168</v>
      </c>
      <c r="K46" s="26" t="s">
        <v>168</v>
      </c>
      <c r="L46" s="26" t="s">
        <v>168</v>
      </c>
      <c r="M46" s="24" t="s">
        <v>169</v>
      </c>
      <c r="N46" s="25" t="s">
        <v>169</v>
      </c>
      <c r="O46" s="29" t="s">
        <v>29</v>
      </c>
      <c r="P46" s="26" t="s">
        <v>168</v>
      </c>
      <c r="Q46" s="27" t="s">
        <v>447</v>
      </c>
      <c r="R46" s="27" t="s">
        <v>181</v>
      </c>
      <c r="S46" s="27" t="s">
        <v>641</v>
      </c>
      <c r="T46" s="27" t="s">
        <v>173</v>
      </c>
      <c r="U46" s="31" t="s">
        <v>168</v>
      </c>
      <c r="V46" s="27" t="s">
        <v>174</v>
      </c>
    </row>
    <row r="47" spans="1:22" ht="76.5" customHeight="1" x14ac:dyDescent="0.25">
      <c r="A47" s="24" t="s">
        <v>501</v>
      </c>
      <c r="B47" s="25" t="s">
        <v>51</v>
      </c>
      <c r="C47" s="24" t="s">
        <v>642</v>
      </c>
      <c r="D47" s="25">
        <v>3</v>
      </c>
      <c r="E47" s="24" t="s">
        <v>238</v>
      </c>
      <c r="F47" s="24" t="s">
        <v>643</v>
      </c>
      <c r="G47" s="24" t="s">
        <v>644</v>
      </c>
      <c r="H47" s="24" t="s">
        <v>645</v>
      </c>
      <c r="I47" s="24" t="s">
        <v>646</v>
      </c>
      <c r="J47" s="26" t="s">
        <v>168</v>
      </c>
      <c r="K47" s="26" t="s">
        <v>168</v>
      </c>
      <c r="L47" s="26" t="s">
        <v>168</v>
      </c>
      <c r="M47" s="24" t="s">
        <v>169</v>
      </c>
      <c r="N47" s="25" t="s">
        <v>169</v>
      </c>
      <c r="O47" s="29" t="s">
        <v>29</v>
      </c>
      <c r="P47" s="34" t="s">
        <v>53</v>
      </c>
      <c r="Q47" s="24" t="s">
        <v>647</v>
      </c>
      <c r="R47" s="24" t="s">
        <v>648</v>
      </c>
      <c r="S47" s="24" t="s">
        <v>649</v>
      </c>
      <c r="T47" s="24" t="s">
        <v>173</v>
      </c>
      <c r="U47" s="35" t="s">
        <v>53</v>
      </c>
      <c r="V47" s="24" t="s">
        <v>174</v>
      </c>
    </row>
    <row r="48" spans="1:22" ht="25.5" customHeight="1" x14ac:dyDescent="0.25">
      <c r="A48" s="27" t="s">
        <v>501</v>
      </c>
      <c r="B48" s="28" t="s">
        <v>51</v>
      </c>
      <c r="C48" s="27" t="s">
        <v>650</v>
      </c>
      <c r="D48" s="28">
        <v>3</v>
      </c>
      <c r="E48" s="27" t="s">
        <v>238</v>
      </c>
      <c r="F48" s="27" t="s">
        <v>520</v>
      </c>
      <c r="G48" s="27" t="s">
        <v>651</v>
      </c>
      <c r="H48" s="27" t="s">
        <v>652</v>
      </c>
      <c r="I48" s="27" t="s">
        <v>168</v>
      </c>
      <c r="J48" s="26" t="s">
        <v>168</v>
      </c>
      <c r="K48" s="26" t="s">
        <v>168</v>
      </c>
      <c r="L48" s="26" t="s">
        <v>168</v>
      </c>
      <c r="M48" s="27" t="s">
        <v>169</v>
      </c>
      <c r="N48" s="28" t="s">
        <v>169</v>
      </c>
      <c r="O48" s="29" t="s">
        <v>29</v>
      </c>
      <c r="P48" s="26" t="s">
        <v>168</v>
      </c>
      <c r="Q48" s="27" t="s">
        <v>180</v>
      </c>
      <c r="R48" s="27" t="s">
        <v>610</v>
      </c>
      <c r="S48" s="27" t="s">
        <v>653</v>
      </c>
      <c r="T48" s="27" t="s">
        <v>173</v>
      </c>
      <c r="U48" s="31" t="s">
        <v>168</v>
      </c>
      <c r="V48" s="27" t="s">
        <v>174</v>
      </c>
    </row>
    <row r="49" spans="1:22" ht="38.25" customHeight="1" x14ac:dyDescent="0.25">
      <c r="A49" s="24" t="s">
        <v>501</v>
      </c>
      <c r="B49" s="25" t="s">
        <v>51</v>
      </c>
      <c r="C49" s="24" t="s">
        <v>453</v>
      </c>
      <c r="D49" s="25">
        <v>2</v>
      </c>
      <c r="E49" s="24" t="s">
        <v>202</v>
      </c>
      <c r="F49" s="24" t="s">
        <v>203</v>
      </c>
      <c r="G49" s="24" t="s">
        <v>454</v>
      </c>
      <c r="H49" s="24" t="s">
        <v>654</v>
      </c>
      <c r="I49" s="24" t="s">
        <v>655</v>
      </c>
      <c r="J49" s="26" t="s">
        <v>168</v>
      </c>
      <c r="K49" s="26" t="s">
        <v>168</v>
      </c>
      <c r="L49" s="26" t="s">
        <v>168</v>
      </c>
      <c r="M49" s="27" t="s">
        <v>169</v>
      </c>
      <c r="N49" s="28" t="s">
        <v>169</v>
      </c>
      <c r="O49" s="29" t="s">
        <v>29</v>
      </c>
      <c r="P49" s="33" t="s">
        <v>74</v>
      </c>
      <c r="Q49" s="24" t="s">
        <v>656</v>
      </c>
      <c r="R49" s="24" t="s">
        <v>657</v>
      </c>
      <c r="S49" s="24" t="s">
        <v>658</v>
      </c>
      <c r="T49" s="24" t="s">
        <v>173</v>
      </c>
      <c r="U49" s="32" t="s">
        <v>168</v>
      </c>
      <c r="V49" s="24" t="s">
        <v>174</v>
      </c>
    </row>
    <row r="50" spans="1:22" ht="63.75" customHeight="1" x14ac:dyDescent="0.25">
      <c r="A50" s="27" t="s">
        <v>501</v>
      </c>
      <c r="B50" s="28" t="s">
        <v>51</v>
      </c>
      <c r="C50" s="27" t="s">
        <v>52</v>
      </c>
      <c r="D50" s="28">
        <v>2</v>
      </c>
      <c r="E50" s="27" t="s">
        <v>238</v>
      </c>
      <c r="F50" s="27" t="s">
        <v>437</v>
      </c>
      <c r="G50" s="27" t="s">
        <v>659</v>
      </c>
      <c r="H50" s="27" t="s">
        <v>660</v>
      </c>
      <c r="I50" s="27" t="s">
        <v>661</v>
      </c>
      <c r="J50" s="26" t="s">
        <v>168</v>
      </c>
      <c r="K50" s="26" t="s">
        <v>168</v>
      </c>
      <c r="L50" s="34" t="s">
        <v>53</v>
      </c>
      <c r="M50" s="24" t="s">
        <v>169</v>
      </c>
      <c r="N50" s="25" t="s">
        <v>169</v>
      </c>
      <c r="O50" s="29" t="s">
        <v>29</v>
      </c>
      <c r="P50" s="26" t="s">
        <v>168</v>
      </c>
      <c r="Q50" s="27" t="s">
        <v>170</v>
      </c>
      <c r="R50" s="27" t="s">
        <v>23</v>
      </c>
      <c r="S50" s="27" t="s">
        <v>662</v>
      </c>
      <c r="T50" s="27" t="s">
        <v>298</v>
      </c>
      <c r="U50" s="38" t="s">
        <v>53</v>
      </c>
      <c r="V50" s="27" t="s">
        <v>174</v>
      </c>
    </row>
    <row r="51" spans="1:22" ht="25.5" customHeight="1" x14ac:dyDescent="0.25">
      <c r="A51" s="24" t="s">
        <v>501</v>
      </c>
      <c r="B51" s="25" t="s">
        <v>51</v>
      </c>
      <c r="C51" s="24" t="s">
        <v>460</v>
      </c>
      <c r="D51" s="25">
        <v>3</v>
      </c>
      <c r="E51" s="24" t="s">
        <v>417</v>
      </c>
      <c r="F51" s="24" t="s">
        <v>418</v>
      </c>
      <c r="G51" s="24" t="s">
        <v>252</v>
      </c>
      <c r="H51" s="24" t="s">
        <v>252</v>
      </c>
      <c r="I51" s="24" t="s">
        <v>253</v>
      </c>
      <c r="J51" s="36" t="s">
        <v>254</v>
      </c>
      <c r="K51" s="36" t="s">
        <v>254</v>
      </c>
      <c r="L51" s="36" t="s">
        <v>254</v>
      </c>
      <c r="M51" s="24" t="s">
        <v>255</v>
      </c>
      <c r="N51" s="25" t="s">
        <v>169</v>
      </c>
      <c r="O51" s="36" t="s">
        <v>30</v>
      </c>
      <c r="P51" s="36" t="s">
        <v>254</v>
      </c>
      <c r="Q51" s="24" t="s">
        <v>256</v>
      </c>
      <c r="R51" s="24" t="s">
        <v>419</v>
      </c>
      <c r="S51" s="24" t="s">
        <v>461</v>
      </c>
      <c r="T51" s="24" t="s">
        <v>421</v>
      </c>
      <c r="U51" s="30" t="s">
        <v>74</v>
      </c>
      <c r="V51" s="24" t="s">
        <v>252</v>
      </c>
    </row>
    <row r="52" spans="1:22" ht="38.25" customHeight="1" x14ac:dyDescent="0.25">
      <c r="A52" s="27" t="s">
        <v>501</v>
      </c>
      <c r="B52" s="28" t="s">
        <v>72</v>
      </c>
      <c r="C52" s="27" t="s">
        <v>477</v>
      </c>
      <c r="D52" s="28">
        <v>3</v>
      </c>
      <c r="E52" s="27" t="s">
        <v>238</v>
      </c>
      <c r="F52" s="27" t="s">
        <v>478</v>
      </c>
      <c r="G52" s="27" t="s">
        <v>479</v>
      </c>
      <c r="H52" s="27" t="s">
        <v>480</v>
      </c>
      <c r="I52" s="27" t="s">
        <v>663</v>
      </c>
      <c r="J52" s="26" t="s">
        <v>168</v>
      </c>
      <c r="K52" s="26" t="s">
        <v>168</v>
      </c>
      <c r="L52" s="26" t="s">
        <v>168</v>
      </c>
      <c r="M52" s="27" t="s">
        <v>664</v>
      </c>
      <c r="N52" s="28" t="s">
        <v>378</v>
      </c>
      <c r="O52" s="33" t="s">
        <v>28</v>
      </c>
      <c r="P52" s="33" t="s">
        <v>74</v>
      </c>
      <c r="Q52" s="27" t="s">
        <v>170</v>
      </c>
      <c r="R52" s="27" t="s">
        <v>665</v>
      </c>
      <c r="S52" s="27" t="s">
        <v>666</v>
      </c>
      <c r="T52" s="27" t="s">
        <v>298</v>
      </c>
      <c r="U52" s="38" t="s">
        <v>53</v>
      </c>
      <c r="V52" s="27" t="s">
        <v>174</v>
      </c>
    </row>
    <row r="53" spans="1:22" ht="63.75" customHeight="1" x14ac:dyDescent="0.25">
      <c r="A53" s="24" t="s">
        <v>501</v>
      </c>
      <c r="B53" s="25" t="s">
        <v>72</v>
      </c>
      <c r="C53" s="24" t="s">
        <v>55</v>
      </c>
      <c r="D53" s="25">
        <v>3</v>
      </c>
      <c r="E53" s="24" t="s">
        <v>238</v>
      </c>
      <c r="F53" s="24" t="s">
        <v>309</v>
      </c>
      <c r="G53" s="24" t="s">
        <v>667</v>
      </c>
      <c r="H53" s="24" t="s">
        <v>668</v>
      </c>
      <c r="I53" s="24" t="s">
        <v>669</v>
      </c>
      <c r="J53" s="34" t="s">
        <v>53</v>
      </c>
      <c r="K53" s="26" t="s">
        <v>168</v>
      </c>
      <c r="L53" s="26" t="s">
        <v>168</v>
      </c>
      <c r="M53" s="24" t="s">
        <v>313</v>
      </c>
      <c r="N53" s="25" t="s">
        <v>314</v>
      </c>
      <c r="O53" s="34" t="s">
        <v>27</v>
      </c>
      <c r="P53" s="33" t="s">
        <v>74</v>
      </c>
      <c r="Q53" s="24" t="s">
        <v>245</v>
      </c>
      <c r="R53" s="24" t="s">
        <v>315</v>
      </c>
      <c r="S53" s="24" t="s">
        <v>670</v>
      </c>
      <c r="T53" s="24" t="s">
        <v>298</v>
      </c>
      <c r="U53" s="35" t="s">
        <v>53</v>
      </c>
      <c r="V53" s="24" t="s">
        <v>174</v>
      </c>
    </row>
    <row r="54" spans="1:22" ht="38.25" customHeight="1" x14ac:dyDescent="0.25">
      <c r="A54" s="27" t="s">
        <v>501</v>
      </c>
      <c r="B54" s="28" t="s">
        <v>72</v>
      </c>
      <c r="C54" s="27" t="s">
        <v>671</v>
      </c>
      <c r="D54" s="28">
        <v>3</v>
      </c>
      <c r="E54" s="27" t="s">
        <v>238</v>
      </c>
      <c r="F54" s="27" t="s">
        <v>348</v>
      </c>
      <c r="G54" s="27" t="s">
        <v>349</v>
      </c>
      <c r="H54" s="27" t="s">
        <v>672</v>
      </c>
      <c r="I54" s="27" t="s">
        <v>351</v>
      </c>
      <c r="J54" s="26" t="s">
        <v>168</v>
      </c>
      <c r="K54" s="26" t="s">
        <v>168</v>
      </c>
      <c r="L54" s="26" t="s">
        <v>168</v>
      </c>
      <c r="M54" s="27" t="s">
        <v>169</v>
      </c>
      <c r="N54" s="28" t="s">
        <v>169</v>
      </c>
      <c r="O54" s="33" t="s">
        <v>28</v>
      </c>
      <c r="P54" s="34" t="s">
        <v>53</v>
      </c>
      <c r="Q54" s="27" t="s">
        <v>352</v>
      </c>
      <c r="R54" s="27" t="s">
        <v>353</v>
      </c>
      <c r="S54" s="27" t="s">
        <v>673</v>
      </c>
      <c r="T54" s="27" t="s">
        <v>248</v>
      </c>
      <c r="U54" s="37" t="s">
        <v>74</v>
      </c>
      <c r="V54" s="27" t="s">
        <v>174</v>
      </c>
    </row>
    <row r="55" spans="1:22" ht="25.5" customHeight="1" x14ac:dyDescent="0.25">
      <c r="A55" s="24" t="s">
        <v>501</v>
      </c>
      <c r="B55" s="25" t="s">
        <v>72</v>
      </c>
      <c r="C55" s="24" t="s">
        <v>491</v>
      </c>
      <c r="D55" s="25">
        <v>3</v>
      </c>
      <c r="E55" s="24" t="s">
        <v>238</v>
      </c>
      <c r="F55" s="24" t="s">
        <v>478</v>
      </c>
      <c r="G55" s="24" t="s">
        <v>492</v>
      </c>
      <c r="H55" s="24" t="s">
        <v>674</v>
      </c>
      <c r="I55" s="24" t="s">
        <v>494</v>
      </c>
      <c r="J55" s="26" t="s">
        <v>168</v>
      </c>
      <c r="K55" s="26" t="s">
        <v>168</v>
      </c>
      <c r="L55" s="26" t="s">
        <v>168</v>
      </c>
      <c r="M55" s="24" t="s">
        <v>169</v>
      </c>
      <c r="N55" s="25" t="s">
        <v>169</v>
      </c>
      <c r="O55" s="33" t="s">
        <v>28</v>
      </c>
      <c r="P55" s="26" t="s">
        <v>168</v>
      </c>
      <c r="Q55" s="24" t="s">
        <v>170</v>
      </c>
      <c r="R55" s="24" t="s">
        <v>495</v>
      </c>
      <c r="S55" s="24" t="s">
        <v>675</v>
      </c>
      <c r="T55" s="24" t="s">
        <v>173</v>
      </c>
      <c r="U55" s="30" t="s">
        <v>74</v>
      </c>
      <c r="V55" s="24" t="s">
        <v>174</v>
      </c>
    </row>
    <row r="56" spans="1:22" ht="76.5" customHeight="1" x14ac:dyDescent="0.25">
      <c r="A56" s="27" t="s">
        <v>501</v>
      </c>
      <c r="B56" s="28" t="s">
        <v>72</v>
      </c>
      <c r="C56" s="27" t="s">
        <v>73</v>
      </c>
      <c r="D56" s="28">
        <v>3</v>
      </c>
      <c r="E56" s="27" t="s">
        <v>238</v>
      </c>
      <c r="F56" s="27" t="s">
        <v>676</v>
      </c>
      <c r="G56" s="27" t="s">
        <v>677</v>
      </c>
      <c r="H56" s="27" t="s">
        <v>678</v>
      </c>
      <c r="I56" s="27" t="s">
        <v>679</v>
      </c>
      <c r="J56" s="26" t="s">
        <v>168</v>
      </c>
      <c r="K56" s="26" t="s">
        <v>168</v>
      </c>
      <c r="L56" s="26" t="s">
        <v>168</v>
      </c>
      <c r="M56" s="27" t="s">
        <v>680</v>
      </c>
      <c r="N56" s="28" t="s">
        <v>681</v>
      </c>
      <c r="O56" s="34" t="s">
        <v>27</v>
      </c>
      <c r="P56" s="34" t="s">
        <v>53</v>
      </c>
      <c r="Q56" s="27" t="s">
        <v>682</v>
      </c>
      <c r="R56" s="27" t="s">
        <v>683</v>
      </c>
      <c r="S56" s="27" t="s">
        <v>684</v>
      </c>
      <c r="T56" s="27" t="s">
        <v>298</v>
      </c>
      <c r="U56" s="38" t="s">
        <v>53</v>
      </c>
      <c r="V56" s="27" t="s">
        <v>174</v>
      </c>
    </row>
    <row r="57" spans="1:22" ht="25.5" customHeight="1" x14ac:dyDescent="0.25">
      <c r="A57" s="24" t="s">
        <v>501</v>
      </c>
      <c r="B57" s="25" t="s">
        <v>72</v>
      </c>
      <c r="C57" s="24" t="s">
        <v>497</v>
      </c>
      <c r="D57" s="25">
        <v>3</v>
      </c>
      <c r="E57" s="24" t="s">
        <v>417</v>
      </c>
      <c r="F57" s="24" t="s">
        <v>418</v>
      </c>
      <c r="G57" s="24" t="s">
        <v>252</v>
      </c>
      <c r="H57" s="24" t="s">
        <v>252</v>
      </c>
      <c r="I57" s="24" t="s">
        <v>253</v>
      </c>
      <c r="J57" s="36" t="s">
        <v>254</v>
      </c>
      <c r="K57" s="36" t="s">
        <v>254</v>
      </c>
      <c r="L57" s="36" t="s">
        <v>254</v>
      </c>
      <c r="M57" s="24" t="s">
        <v>255</v>
      </c>
      <c r="N57" s="25" t="s">
        <v>169</v>
      </c>
      <c r="O57" s="36" t="s">
        <v>30</v>
      </c>
      <c r="P57" s="36" t="s">
        <v>254</v>
      </c>
      <c r="Q57" s="24" t="s">
        <v>256</v>
      </c>
      <c r="R57" s="24" t="s">
        <v>419</v>
      </c>
      <c r="S57" s="24" t="s">
        <v>461</v>
      </c>
      <c r="T57" s="24" t="s">
        <v>421</v>
      </c>
      <c r="U57" s="30" t="s">
        <v>74</v>
      </c>
      <c r="V57" s="24" t="s">
        <v>252</v>
      </c>
    </row>
    <row r="59" spans="1:22" x14ac:dyDescent="0.25">
      <c r="A59" s="7" t="s">
        <v>498</v>
      </c>
      <c r="B59" s="7"/>
      <c r="C59" s="7"/>
      <c r="D59" s="7"/>
      <c r="E59" s="7"/>
      <c r="F59" s="7"/>
      <c r="G59" s="7"/>
      <c r="H59" s="7"/>
      <c r="I59" s="7"/>
      <c r="J59" s="7"/>
      <c r="K59" s="7"/>
      <c r="L59" s="7"/>
      <c r="M59" s="7"/>
      <c r="N59" s="7"/>
      <c r="O59" s="7"/>
      <c r="P59" s="7"/>
      <c r="Q59" s="7"/>
      <c r="R59" s="7"/>
      <c r="S59" s="7"/>
      <c r="T59" s="7"/>
      <c r="U59" s="7"/>
      <c r="V59" s="7"/>
    </row>
  </sheetData>
  <autoFilter ref="A4:V57" xr:uid="{00000000-0009-0000-0000-000002000000}"/>
  <mergeCells count="3">
    <mergeCell ref="A1:V1"/>
    <mergeCell ref="A2:V2"/>
    <mergeCell ref="A59:V5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9"/>
  <sheetViews>
    <sheetView showGridLines="0" zoomScaleNormal="100" workbookViewId="0">
      <pane xSplit="5" ySplit="4" topLeftCell="H25" activePane="bottomRight" state="frozen"/>
      <selection pane="topRight" activeCell="H1" sqref="H1"/>
      <selection pane="bottomLeft" activeCell="A25" sqref="A25"/>
      <selection pane="bottomRight" sqref="A1:L1"/>
    </sheetView>
  </sheetViews>
  <sheetFormatPr baseColWidth="10" defaultColWidth="8.7109375" defaultRowHeight="15" x14ac:dyDescent="0.25"/>
  <cols>
    <col min="1" max="1" width="9" customWidth="1"/>
    <col min="2" max="2" width="16" customWidth="1"/>
    <col min="3" max="3" width="17" customWidth="1"/>
    <col min="4" max="4" width="16" customWidth="1"/>
    <col min="5" max="5" width="44" customWidth="1"/>
    <col min="6" max="6" width="40" customWidth="1"/>
    <col min="7" max="7" width="46" customWidth="1"/>
    <col min="8" max="8" width="60" customWidth="1"/>
    <col min="9" max="9" width="40" customWidth="1"/>
    <col min="10" max="10" width="60" customWidth="1"/>
    <col min="11" max="11" width="15" customWidth="1"/>
    <col min="12" max="12" width="66" customWidth="1"/>
  </cols>
  <sheetData>
    <row r="1" spans="1:12" ht="33.75" customHeight="1" x14ac:dyDescent="0.25">
      <c r="A1" s="9" t="s">
        <v>685</v>
      </c>
      <c r="B1" s="9"/>
      <c r="C1" s="9"/>
      <c r="D1" s="9"/>
      <c r="E1" s="9"/>
      <c r="F1" s="9"/>
      <c r="G1" s="9"/>
      <c r="H1" s="9"/>
      <c r="I1" s="9"/>
      <c r="J1" s="9"/>
      <c r="K1" s="9"/>
      <c r="L1" s="9"/>
    </row>
    <row r="2" spans="1:12" ht="18" customHeight="1" x14ac:dyDescent="0.25">
      <c r="A2" s="8" t="s">
        <v>686</v>
      </c>
      <c r="B2" s="8"/>
      <c r="C2" s="8"/>
      <c r="D2" s="8"/>
      <c r="E2" s="8"/>
      <c r="F2" s="8"/>
      <c r="G2" s="8"/>
      <c r="H2" s="8"/>
      <c r="I2" s="8"/>
      <c r="J2" s="8"/>
      <c r="K2" s="8"/>
      <c r="L2" s="8"/>
    </row>
    <row r="4" spans="1:12" ht="33.75" customHeight="1" x14ac:dyDescent="0.25">
      <c r="A4" s="10" t="s">
        <v>687</v>
      </c>
      <c r="B4" s="10" t="s">
        <v>688</v>
      </c>
      <c r="C4" s="10" t="s">
        <v>45</v>
      </c>
      <c r="D4" s="10" t="s">
        <v>145</v>
      </c>
      <c r="E4" s="10" t="s">
        <v>47</v>
      </c>
      <c r="F4" s="10" t="s">
        <v>48</v>
      </c>
      <c r="G4" s="23" t="s">
        <v>152</v>
      </c>
      <c r="H4" s="10" t="s">
        <v>689</v>
      </c>
      <c r="I4" s="10" t="s">
        <v>690</v>
      </c>
      <c r="J4" s="10" t="s">
        <v>691</v>
      </c>
      <c r="K4" s="10" t="s">
        <v>50</v>
      </c>
      <c r="L4" s="10" t="s">
        <v>692</v>
      </c>
    </row>
    <row r="5" spans="1:12" ht="38.25" customHeight="1" x14ac:dyDescent="0.25">
      <c r="A5" s="39">
        <v>1</v>
      </c>
      <c r="B5" s="40" t="s">
        <v>693</v>
      </c>
      <c r="C5" s="40" t="s">
        <v>8</v>
      </c>
      <c r="D5" s="41" t="s">
        <v>51</v>
      </c>
      <c r="E5" s="40" t="s">
        <v>52</v>
      </c>
      <c r="F5" s="40" t="s">
        <v>23</v>
      </c>
      <c r="G5" s="40" t="s">
        <v>694</v>
      </c>
      <c r="H5" s="40" t="s">
        <v>695</v>
      </c>
      <c r="I5" s="40" t="s">
        <v>696</v>
      </c>
      <c r="J5" s="40" t="s">
        <v>697</v>
      </c>
      <c r="K5" s="42" t="s">
        <v>53</v>
      </c>
      <c r="L5" s="40" t="s">
        <v>698</v>
      </c>
    </row>
    <row r="6" spans="1:12" ht="38.25" customHeight="1" x14ac:dyDescent="0.25">
      <c r="A6" s="43">
        <v>2</v>
      </c>
      <c r="B6" s="44" t="s">
        <v>693</v>
      </c>
      <c r="C6" s="44" t="s">
        <v>7</v>
      </c>
      <c r="D6" s="45" t="s">
        <v>54</v>
      </c>
      <c r="E6" s="44" t="s">
        <v>55</v>
      </c>
      <c r="F6" s="44" t="s">
        <v>21</v>
      </c>
      <c r="G6" s="44" t="s">
        <v>699</v>
      </c>
      <c r="H6" s="44" t="s">
        <v>700</v>
      </c>
      <c r="I6" s="44" t="s">
        <v>701</v>
      </c>
      <c r="J6" s="44" t="s">
        <v>702</v>
      </c>
      <c r="K6" s="42" t="s">
        <v>53</v>
      </c>
      <c r="L6" s="44" t="s">
        <v>703</v>
      </c>
    </row>
    <row r="7" spans="1:12" ht="38.25" customHeight="1" x14ac:dyDescent="0.25">
      <c r="A7" s="39">
        <v>3</v>
      </c>
      <c r="B7" s="40" t="s">
        <v>693</v>
      </c>
      <c r="C7" s="40" t="s">
        <v>7</v>
      </c>
      <c r="D7" s="41" t="s">
        <v>51</v>
      </c>
      <c r="E7" s="40" t="s">
        <v>56</v>
      </c>
      <c r="F7" s="40" t="s">
        <v>57</v>
      </c>
      <c r="G7" s="40" t="s">
        <v>704</v>
      </c>
      <c r="H7" s="40" t="s">
        <v>705</v>
      </c>
      <c r="I7" s="40" t="s">
        <v>706</v>
      </c>
      <c r="J7" s="40" t="s">
        <v>707</v>
      </c>
      <c r="K7" s="42" t="s">
        <v>53</v>
      </c>
      <c r="L7" s="40" t="s">
        <v>708</v>
      </c>
    </row>
    <row r="8" spans="1:12" ht="38.25" customHeight="1" x14ac:dyDescent="0.25">
      <c r="A8" s="43">
        <v>4</v>
      </c>
      <c r="B8" s="44" t="s">
        <v>693</v>
      </c>
      <c r="C8" s="44" t="s">
        <v>8</v>
      </c>
      <c r="D8" s="45" t="s">
        <v>58</v>
      </c>
      <c r="E8" s="44" t="s">
        <v>59</v>
      </c>
      <c r="F8" s="44" t="s">
        <v>60</v>
      </c>
      <c r="G8" s="44" t="s">
        <v>709</v>
      </c>
      <c r="H8" s="44" t="s">
        <v>710</v>
      </c>
      <c r="I8" s="44" t="s">
        <v>711</v>
      </c>
      <c r="J8" s="44" t="s">
        <v>712</v>
      </c>
      <c r="K8" s="42" t="s">
        <v>53</v>
      </c>
      <c r="L8" s="44" t="s">
        <v>713</v>
      </c>
    </row>
    <row r="9" spans="1:12" ht="38.25" customHeight="1" x14ac:dyDescent="0.25">
      <c r="A9" s="39">
        <v>5</v>
      </c>
      <c r="B9" s="40" t="s">
        <v>693</v>
      </c>
      <c r="C9" s="40" t="s">
        <v>7</v>
      </c>
      <c r="D9" s="41" t="s">
        <v>61</v>
      </c>
      <c r="E9" s="40" t="s">
        <v>62</v>
      </c>
      <c r="F9" s="40" t="s">
        <v>21</v>
      </c>
      <c r="G9" s="40" t="s">
        <v>714</v>
      </c>
      <c r="H9" s="40" t="s">
        <v>715</v>
      </c>
      <c r="I9" s="40" t="s">
        <v>716</v>
      </c>
      <c r="J9" s="40" t="s">
        <v>717</v>
      </c>
      <c r="K9" s="42" t="s">
        <v>53</v>
      </c>
      <c r="L9" s="40" t="s">
        <v>718</v>
      </c>
    </row>
    <row r="10" spans="1:12" ht="38.25" customHeight="1" x14ac:dyDescent="0.25">
      <c r="A10" s="43">
        <v>6</v>
      </c>
      <c r="B10" s="44" t="s">
        <v>693</v>
      </c>
      <c r="C10" s="44" t="s">
        <v>63</v>
      </c>
      <c r="D10" s="45" t="s">
        <v>719</v>
      </c>
      <c r="E10" s="44" t="s">
        <v>65</v>
      </c>
      <c r="F10" s="44" t="s">
        <v>66</v>
      </c>
      <c r="G10" s="44" t="s">
        <v>720</v>
      </c>
      <c r="H10" s="44" t="s">
        <v>721</v>
      </c>
      <c r="I10" s="44" t="s">
        <v>722</v>
      </c>
      <c r="J10" s="44" t="s">
        <v>723</v>
      </c>
      <c r="K10" s="42" t="s">
        <v>53</v>
      </c>
      <c r="L10" s="44" t="s">
        <v>724</v>
      </c>
    </row>
    <row r="11" spans="1:12" ht="25.5" customHeight="1" x14ac:dyDescent="0.25">
      <c r="A11" s="39">
        <v>7</v>
      </c>
      <c r="B11" s="40" t="s">
        <v>693</v>
      </c>
      <c r="C11" s="40" t="s">
        <v>8</v>
      </c>
      <c r="D11" s="41" t="s">
        <v>61</v>
      </c>
      <c r="E11" s="40" t="s">
        <v>56</v>
      </c>
      <c r="F11" s="40" t="s">
        <v>67</v>
      </c>
      <c r="G11" s="40" t="s">
        <v>704</v>
      </c>
      <c r="H11" s="40" t="s">
        <v>725</v>
      </c>
      <c r="I11" s="40" t="s">
        <v>726</v>
      </c>
      <c r="J11" s="40" t="s">
        <v>727</v>
      </c>
      <c r="K11" s="42" t="s">
        <v>53</v>
      </c>
      <c r="L11" s="40" t="s">
        <v>728</v>
      </c>
    </row>
    <row r="12" spans="1:12" ht="25.5" customHeight="1" x14ac:dyDescent="0.25">
      <c r="A12" s="43">
        <v>8</v>
      </c>
      <c r="B12" s="44" t="s">
        <v>693</v>
      </c>
      <c r="C12" s="44" t="s">
        <v>7</v>
      </c>
      <c r="D12" s="45" t="s">
        <v>61</v>
      </c>
      <c r="E12" s="44" t="s">
        <v>68</v>
      </c>
      <c r="F12" s="44" t="s">
        <v>21</v>
      </c>
      <c r="G12" s="44" t="s">
        <v>729</v>
      </c>
      <c r="H12" s="44" t="s">
        <v>730</v>
      </c>
      <c r="I12" s="44" t="s">
        <v>731</v>
      </c>
      <c r="J12" s="44" t="s">
        <v>732</v>
      </c>
      <c r="K12" s="42" t="s">
        <v>53</v>
      </c>
      <c r="L12" s="44" t="s">
        <v>733</v>
      </c>
    </row>
    <row r="13" spans="1:12" ht="25.5" customHeight="1" x14ac:dyDescent="0.25">
      <c r="A13" s="39">
        <v>9</v>
      </c>
      <c r="B13" s="40" t="s">
        <v>693</v>
      </c>
      <c r="C13" s="40" t="s">
        <v>8</v>
      </c>
      <c r="D13" s="41" t="s">
        <v>54</v>
      </c>
      <c r="E13" s="40" t="s">
        <v>69</v>
      </c>
      <c r="F13" s="40" t="s">
        <v>22</v>
      </c>
      <c r="G13" s="40" t="s">
        <v>734</v>
      </c>
      <c r="H13" s="40" t="s">
        <v>735</v>
      </c>
      <c r="I13" s="40" t="s">
        <v>736</v>
      </c>
      <c r="J13" s="40" t="s">
        <v>737</v>
      </c>
      <c r="K13" s="42" t="s">
        <v>53</v>
      </c>
      <c r="L13" s="40" t="s">
        <v>738</v>
      </c>
    </row>
    <row r="14" spans="1:12" ht="25.5" customHeight="1" x14ac:dyDescent="0.25">
      <c r="A14" s="43">
        <v>10</v>
      </c>
      <c r="B14" s="44" t="s">
        <v>693</v>
      </c>
      <c r="C14" s="44" t="s">
        <v>7</v>
      </c>
      <c r="D14" s="45" t="s">
        <v>58</v>
      </c>
      <c r="E14" s="44" t="s">
        <v>70</v>
      </c>
      <c r="F14" s="44" t="s">
        <v>71</v>
      </c>
      <c r="G14" s="44" t="s">
        <v>739</v>
      </c>
      <c r="H14" s="44" t="s">
        <v>740</v>
      </c>
      <c r="I14" s="44" t="s">
        <v>741</v>
      </c>
      <c r="J14" s="44" t="s">
        <v>742</v>
      </c>
      <c r="K14" s="42" t="s">
        <v>53</v>
      </c>
      <c r="L14" s="44" t="s">
        <v>743</v>
      </c>
    </row>
    <row r="15" spans="1:12" ht="25.5" customHeight="1" x14ac:dyDescent="0.25">
      <c r="A15" s="39">
        <v>11</v>
      </c>
      <c r="B15" s="40" t="s">
        <v>693</v>
      </c>
      <c r="C15" s="40" t="s">
        <v>8</v>
      </c>
      <c r="D15" s="41" t="s">
        <v>72</v>
      </c>
      <c r="E15" s="40" t="s">
        <v>73</v>
      </c>
      <c r="F15" s="40" t="s">
        <v>71</v>
      </c>
      <c r="G15" s="40" t="s">
        <v>744</v>
      </c>
      <c r="H15" s="40" t="s">
        <v>745</v>
      </c>
      <c r="I15" s="40" t="s">
        <v>746</v>
      </c>
      <c r="J15" s="40" t="s">
        <v>747</v>
      </c>
      <c r="K15" s="46" t="s">
        <v>74</v>
      </c>
      <c r="L15" s="40" t="s">
        <v>748</v>
      </c>
    </row>
    <row r="16" spans="1:12" ht="25.5" customHeight="1" x14ac:dyDescent="0.25">
      <c r="A16" s="43">
        <v>12</v>
      </c>
      <c r="B16" s="44" t="s">
        <v>693</v>
      </c>
      <c r="C16" s="44" t="s">
        <v>7</v>
      </c>
      <c r="D16" s="45" t="s">
        <v>61</v>
      </c>
      <c r="E16" s="44" t="s">
        <v>75</v>
      </c>
      <c r="F16" s="44" t="s">
        <v>22</v>
      </c>
      <c r="G16" s="44" t="s">
        <v>749</v>
      </c>
      <c r="H16" s="44" t="s">
        <v>750</v>
      </c>
      <c r="I16" s="44" t="s">
        <v>751</v>
      </c>
      <c r="J16" s="44" t="s">
        <v>752</v>
      </c>
      <c r="K16" s="42" t="s">
        <v>53</v>
      </c>
      <c r="L16" s="44" t="s">
        <v>753</v>
      </c>
    </row>
    <row r="17" spans="1:12" ht="25.5" customHeight="1" x14ac:dyDescent="0.25">
      <c r="A17" s="39">
        <v>13</v>
      </c>
      <c r="B17" s="40" t="s">
        <v>693</v>
      </c>
      <c r="C17" s="40" t="s">
        <v>8</v>
      </c>
      <c r="D17" s="41" t="s">
        <v>72</v>
      </c>
      <c r="E17" s="40" t="s">
        <v>55</v>
      </c>
      <c r="F17" s="40" t="s">
        <v>21</v>
      </c>
      <c r="G17" s="40" t="s">
        <v>699</v>
      </c>
      <c r="H17" s="40" t="s">
        <v>754</v>
      </c>
      <c r="I17" s="40" t="s">
        <v>755</v>
      </c>
      <c r="J17" s="40" t="s">
        <v>756</v>
      </c>
      <c r="K17" s="42" t="s">
        <v>53</v>
      </c>
      <c r="L17" s="40" t="s">
        <v>757</v>
      </c>
    </row>
    <row r="18" spans="1:12" ht="25.5" customHeight="1" x14ac:dyDescent="0.25">
      <c r="A18" s="43">
        <v>14</v>
      </c>
      <c r="B18" s="44" t="s">
        <v>693</v>
      </c>
      <c r="C18" s="44" t="s">
        <v>7</v>
      </c>
      <c r="D18" s="45" t="s">
        <v>58</v>
      </c>
      <c r="E18" s="44" t="s">
        <v>76</v>
      </c>
      <c r="F18" s="44" t="s">
        <v>57</v>
      </c>
      <c r="G18" s="44" t="s">
        <v>758</v>
      </c>
      <c r="H18" s="44" t="s">
        <v>759</v>
      </c>
      <c r="I18" s="44" t="s">
        <v>369</v>
      </c>
      <c r="J18" s="44" t="s">
        <v>760</v>
      </c>
      <c r="K18" s="46" t="s">
        <v>74</v>
      </c>
      <c r="L18" s="44" t="s">
        <v>761</v>
      </c>
    </row>
    <row r="19" spans="1:12" ht="25.5" customHeight="1" x14ac:dyDescent="0.25">
      <c r="A19" s="39">
        <v>15</v>
      </c>
      <c r="B19" s="40" t="s">
        <v>693</v>
      </c>
      <c r="C19" s="40" t="s">
        <v>8</v>
      </c>
      <c r="D19" s="41" t="s">
        <v>77</v>
      </c>
      <c r="E19" s="40" t="s">
        <v>78</v>
      </c>
      <c r="F19" s="40" t="s">
        <v>22</v>
      </c>
      <c r="G19" s="40" t="s">
        <v>762</v>
      </c>
      <c r="H19" s="40" t="s">
        <v>763</v>
      </c>
      <c r="I19" s="40" t="s">
        <v>764</v>
      </c>
      <c r="J19" s="40" t="s">
        <v>765</v>
      </c>
      <c r="K19" s="42" t="s">
        <v>53</v>
      </c>
      <c r="L19" s="40" t="s">
        <v>766</v>
      </c>
    </row>
    <row r="20" spans="1:12" ht="25.5" customHeight="1" x14ac:dyDescent="0.25">
      <c r="A20" s="45">
        <v>16</v>
      </c>
      <c r="B20" s="44" t="s">
        <v>767</v>
      </c>
      <c r="C20" s="44" t="s">
        <v>7</v>
      </c>
      <c r="D20" s="45" t="s">
        <v>72</v>
      </c>
      <c r="E20" s="44" t="s">
        <v>477</v>
      </c>
      <c r="F20" s="44" t="s">
        <v>23</v>
      </c>
      <c r="G20" s="44" t="s">
        <v>768</v>
      </c>
      <c r="H20" s="44" t="s">
        <v>769</v>
      </c>
      <c r="I20" s="44" t="s">
        <v>770</v>
      </c>
      <c r="J20" s="44" t="s">
        <v>771</v>
      </c>
      <c r="K20" s="42" t="s">
        <v>53</v>
      </c>
      <c r="L20" s="44" t="s">
        <v>772</v>
      </c>
    </row>
    <row r="21" spans="1:12" ht="25.5" customHeight="1" x14ac:dyDescent="0.25">
      <c r="A21" s="41">
        <v>17</v>
      </c>
      <c r="B21" s="40" t="s">
        <v>767</v>
      </c>
      <c r="C21" s="40" t="s">
        <v>7</v>
      </c>
      <c r="D21" s="41" t="s">
        <v>77</v>
      </c>
      <c r="E21" s="40" t="s">
        <v>289</v>
      </c>
      <c r="F21" s="40" t="s">
        <v>21</v>
      </c>
      <c r="G21" s="40" t="s">
        <v>773</v>
      </c>
      <c r="H21" s="40" t="s">
        <v>774</v>
      </c>
      <c r="I21" s="40" t="s">
        <v>775</v>
      </c>
      <c r="J21" s="40" t="s">
        <v>776</v>
      </c>
      <c r="K21" s="42" t="s">
        <v>53</v>
      </c>
      <c r="L21" s="40" t="s">
        <v>777</v>
      </c>
    </row>
    <row r="22" spans="1:12" ht="25.5" customHeight="1" x14ac:dyDescent="0.25">
      <c r="A22" s="45">
        <v>18</v>
      </c>
      <c r="B22" s="44" t="s">
        <v>767</v>
      </c>
      <c r="C22" s="44" t="s">
        <v>8</v>
      </c>
      <c r="D22" s="45" t="s">
        <v>213</v>
      </c>
      <c r="E22" s="44" t="s">
        <v>524</v>
      </c>
      <c r="F22" s="44" t="s">
        <v>21</v>
      </c>
      <c r="G22" s="44" t="s">
        <v>778</v>
      </c>
      <c r="H22" s="44" t="s">
        <v>779</v>
      </c>
      <c r="I22" s="44" t="s">
        <v>780</v>
      </c>
      <c r="J22" s="44" t="s">
        <v>781</v>
      </c>
      <c r="K22" s="42" t="s">
        <v>53</v>
      </c>
      <c r="L22" s="44" t="s">
        <v>782</v>
      </c>
    </row>
    <row r="23" spans="1:12" ht="38.25" customHeight="1" x14ac:dyDescent="0.25">
      <c r="A23" s="41">
        <v>19</v>
      </c>
      <c r="B23" s="40" t="s">
        <v>767</v>
      </c>
      <c r="C23" s="40" t="s">
        <v>63</v>
      </c>
      <c r="D23" s="41" t="s">
        <v>783</v>
      </c>
      <c r="E23" s="40" t="s">
        <v>162</v>
      </c>
      <c r="F23" s="40" t="s">
        <v>784</v>
      </c>
      <c r="G23" s="40" t="s">
        <v>785</v>
      </c>
      <c r="H23" s="40" t="s">
        <v>786</v>
      </c>
      <c r="I23" s="40" t="s">
        <v>787</v>
      </c>
      <c r="J23" s="40" t="s">
        <v>788</v>
      </c>
      <c r="K23" s="46" t="s">
        <v>74</v>
      </c>
      <c r="L23" s="40" t="s">
        <v>789</v>
      </c>
    </row>
    <row r="24" spans="1:12" ht="25.5" customHeight="1" x14ac:dyDescent="0.25">
      <c r="A24" s="45">
        <v>20</v>
      </c>
      <c r="B24" s="44" t="s">
        <v>767</v>
      </c>
      <c r="C24" s="44" t="s">
        <v>7</v>
      </c>
      <c r="D24" s="45" t="s">
        <v>54</v>
      </c>
      <c r="E24" s="44" t="s">
        <v>334</v>
      </c>
      <c r="F24" s="44" t="s">
        <v>21</v>
      </c>
      <c r="G24" s="44" t="s">
        <v>790</v>
      </c>
      <c r="H24" s="44" t="s">
        <v>791</v>
      </c>
      <c r="I24" s="44" t="s">
        <v>792</v>
      </c>
      <c r="J24" s="44" t="s">
        <v>793</v>
      </c>
      <c r="K24" s="46" t="s">
        <v>74</v>
      </c>
      <c r="L24" s="44" t="s">
        <v>794</v>
      </c>
    </row>
    <row r="25" spans="1:12" ht="25.5" customHeight="1" x14ac:dyDescent="0.25">
      <c r="A25" s="41">
        <v>21</v>
      </c>
      <c r="B25" s="40" t="s">
        <v>767</v>
      </c>
      <c r="C25" s="40" t="s">
        <v>8</v>
      </c>
      <c r="D25" s="41" t="s">
        <v>72</v>
      </c>
      <c r="E25" s="40" t="s">
        <v>477</v>
      </c>
      <c r="F25" s="40" t="s">
        <v>795</v>
      </c>
      <c r="G25" s="40" t="s">
        <v>768</v>
      </c>
      <c r="H25" s="40" t="s">
        <v>796</v>
      </c>
      <c r="I25" s="40" t="s">
        <v>797</v>
      </c>
      <c r="J25" s="40" t="s">
        <v>798</v>
      </c>
      <c r="K25" s="42" t="s">
        <v>53</v>
      </c>
      <c r="L25" s="40" t="s">
        <v>799</v>
      </c>
    </row>
    <row r="26" spans="1:12" ht="25.5" customHeight="1" x14ac:dyDescent="0.25">
      <c r="A26" s="45">
        <v>22</v>
      </c>
      <c r="B26" s="44" t="s">
        <v>767</v>
      </c>
      <c r="C26" s="44" t="s">
        <v>7</v>
      </c>
      <c r="D26" s="45" t="s">
        <v>61</v>
      </c>
      <c r="E26" s="44" t="s">
        <v>388</v>
      </c>
      <c r="F26" s="44" t="s">
        <v>23</v>
      </c>
      <c r="G26" s="44" t="s">
        <v>762</v>
      </c>
      <c r="H26" s="44" t="s">
        <v>800</v>
      </c>
      <c r="I26" s="44" t="s">
        <v>801</v>
      </c>
      <c r="J26" s="44" t="s">
        <v>802</v>
      </c>
      <c r="K26" s="46" t="s">
        <v>74</v>
      </c>
      <c r="L26" s="44" t="s">
        <v>803</v>
      </c>
    </row>
    <row r="27" spans="1:12" ht="25.5" customHeight="1" x14ac:dyDescent="0.25">
      <c r="A27" s="41">
        <v>23</v>
      </c>
      <c r="B27" s="40" t="s">
        <v>767</v>
      </c>
      <c r="C27" s="40" t="s">
        <v>7</v>
      </c>
      <c r="D27" s="41" t="s">
        <v>213</v>
      </c>
      <c r="E27" s="40" t="s">
        <v>237</v>
      </c>
      <c r="F27" s="40" t="s">
        <v>21</v>
      </c>
      <c r="G27" s="40" t="s">
        <v>804</v>
      </c>
      <c r="H27" s="40" t="s">
        <v>805</v>
      </c>
      <c r="I27" s="40" t="s">
        <v>806</v>
      </c>
      <c r="J27" s="40" t="s">
        <v>807</v>
      </c>
      <c r="K27" s="46" t="s">
        <v>74</v>
      </c>
      <c r="L27" s="40" t="s">
        <v>808</v>
      </c>
    </row>
    <row r="29" spans="1:12" x14ac:dyDescent="0.25">
      <c r="A29" s="7" t="s">
        <v>809</v>
      </c>
      <c r="B29" s="7"/>
      <c r="C29" s="7"/>
      <c r="D29" s="7"/>
      <c r="E29" s="7"/>
      <c r="F29" s="7"/>
      <c r="G29" s="7"/>
      <c r="H29" s="7"/>
      <c r="I29" s="7"/>
      <c r="J29" s="7"/>
      <c r="K29" s="7"/>
      <c r="L29" s="7"/>
    </row>
  </sheetData>
  <autoFilter ref="A4:L27" xr:uid="{00000000-0009-0000-0000-000003000000}"/>
  <mergeCells count="3">
    <mergeCell ref="A1:L1"/>
    <mergeCell ref="A2:L2"/>
    <mergeCell ref="A29:L2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
  <sheetViews>
    <sheetView showGridLines="0" tabSelected="1" zoomScaleNormal="100" workbookViewId="0">
      <pane xSplit="2" ySplit="4" topLeftCell="C7" activePane="bottomRight" state="frozen"/>
      <selection pane="topRight" activeCell="C1" sqref="C1"/>
      <selection pane="bottomLeft" activeCell="A6" sqref="A6"/>
      <selection pane="bottomRight" activeCell="D8" sqref="D8"/>
    </sheetView>
  </sheetViews>
  <sheetFormatPr baseColWidth="10" defaultColWidth="8.7109375" defaultRowHeight="15" x14ac:dyDescent="0.25"/>
  <cols>
    <col min="1" max="1" width="9" customWidth="1"/>
    <col min="2" max="2" width="46" customWidth="1"/>
    <col min="3" max="3" width="24" customWidth="1"/>
    <col min="4" max="5" width="60" customWidth="1"/>
    <col min="6" max="6" width="56" customWidth="1"/>
    <col min="7" max="7" width="60" customWidth="1"/>
    <col min="8" max="8" width="52" customWidth="1"/>
    <col min="9" max="9" width="68" customWidth="1"/>
    <col min="10" max="10" width="32" customWidth="1"/>
    <col min="11" max="11" width="16" customWidth="1"/>
  </cols>
  <sheetData>
    <row r="1" spans="1:11" ht="33.75" customHeight="1" x14ac:dyDescent="0.25">
      <c r="A1" s="9" t="s">
        <v>810</v>
      </c>
      <c r="B1" s="9"/>
      <c r="C1" s="9"/>
      <c r="D1" s="9"/>
      <c r="E1" s="9"/>
      <c r="F1" s="9"/>
      <c r="G1" s="9"/>
      <c r="H1" s="9"/>
      <c r="I1" s="9"/>
      <c r="J1" s="9"/>
      <c r="K1" s="9"/>
    </row>
    <row r="2" spans="1:11" ht="18" customHeight="1" x14ac:dyDescent="0.25">
      <c r="A2" s="8" t="s">
        <v>811</v>
      </c>
      <c r="B2" s="8"/>
      <c r="C2" s="8"/>
      <c r="D2" s="8"/>
      <c r="E2" s="8"/>
      <c r="F2" s="8"/>
      <c r="G2" s="8"/>
      <c r="H2" s="8"/>
      <c r="I2" s="8"/>
      <c r="J2" s="8"/>
      <c r="K2" s="8"/>
    </row>
    <row r="4" spans="1:11" ht="42" customHeight="1" x14ac:dyDescent="0.25">
      <c r="A4" s="10" t="s">
        <v>81</v>
      </c>
      <c r="B4" s="10" t="s">
        <v>82</v>
      </c>
      <c r="C4" s="10" t="s">
        <v>812</v>
      </c>
      <c r="D4" s="10" t="s">
        <v>813</v>
      </c>
      <c r="E4" s="10" t="s">
        <v>814</v>
      </c>
      <c r="F4" s="10" t="s">
        <v>815</v>
      </c>
      <c r="G4" s="10" t="s">
        <v>816</v>
      </c>
      <c r="H4" s="10" t="s">
        <v>817</v>
      </c>
      <c r="I4" s="10" t="s">
        <v>818</v>
      </c>
      <c r="J4" s="10" t="s">
        <v>84</v>
      </c>
      <c r="K4" s="10" t="s">
        <v>49</v>
      </c>
    </row>
    <row r="5" spans="1:11" ht="111.75" customHeight="1" x14ac:dyDescent="0.25">
      <c r="A5" s="39" t="s">
        <v>85</v>
      </c>
      <c r="B5" s="47" t="s">
        <v>86</v>
      </c>
      <c r="C5" s="40" t="s">
        <v>7</v>
      </c>
      <c r="D5" s="40" t="s">
        <v>819</v>
      </c>
      <c r="E5" s="40" t="s">
        <v>820</v>
      </c>
      <c r="F5" s="40" t="s">
        <v>821</v>
      </c>
      <c r="G5" s="40" t="s">
        <v>822</v>
      </c>
      <c r="H5" s="40" t="s">
        <v>823</v>
      </c>
      <c r="I5" s="40" t="s">
        <v>824</v>
      </c>
      <c r="J5" s="40" t="s">
        <v>87</v>
      </c>
      <c r="K5" s="41" t="s">
        <v>88</v>
      </c>
    </row>
    <row r="6" spans="1:11" ht="111.75" customHeight="1" x14ac:dyDescent="0.25">
      <c r="A6" s="43" t="s">
        <v>89</v>
      </c>
      <c r="B6" s="44" t="s">
        <v>90</v>
      </c>
      <c r="C6" s="44" t="s">
        <v>91</v>
      </c>
      <c r="D6" s="44" t="s">
        <v>825</v>
      </c>
      <c r="E6" s="44" t="s">
        <v>826</v>
      </c>
      <c r="F6" s="44" t="s">
        <v>827</v>
      </c>
      <c r="G6" s="44" t="s">
        <v>828</v>
      </c>
      <c r="H6" s="44" t="s">
        <v>829</v>
      </c>
      <c r="I6" s="44" t="s">
        <v>830</v>
      </c>
      <c r="J6" s="44" t="s">
        <v>92</v>
      </c>
      <c r="K6" s="45" t="s">
        <v>93</v>
      </c>
    </row>
    <row r="7" spans="1:11" ht="111.75" customHeight="1" x14ac:dyDescent="0.25">
      <c r="A7" s="39" t="s">
        <v>94</v>
      </c>
      <c r="B7" s="47" t="s">
        <v>95</v>
      </c>
      <c r="C7" s="40" t="s">
        <v>96</v>
      </c>
      <c r="D7" s="40" t="s">
        <v>831</v>
      </c>
      <c r="E7" s="40" t="s">
        <v>832</v>
      </c>
      <c r="F7" s="40" t="s">
        <v>833</v>
      </c>
      <c r="G7" s="40" t="s">
        <v>834</v>
      </c>
      <c r="H7" s="40" t="s">
        <v>835</v>
      </c>
      <c r="I7" s="40" t="s">
        <v>836</v>
      </c>
      <c r="J7" s="40" t="s">
        <v>97</v>
      </c>
      <c r="K7" s="41" t="s">
        <v>88</v>
      </c>
    </row>
    <row r="8" spans="1:11" ht="111.75" customHeight="1" x14ac:dyDescent="0.25">
      <c r="A8" s="43" t="s">
        <v>98</v>
      </c>
      <c r="B8" s="53" t="s">
        <v>1029</v>
      </c>
      <c r="C8" s="44" t="s">
        <v>7</v>
      </c>
      <c r="D8" s="44" t="s">
        <v>837</v>
      </c>
      <c r="E8" s="44" t="s">
        <v>838</v>
      </c>
      <c r="F8" s="44" t="s">
        <v>839</v>
      </c>
      <c r="G8" s="44" t="s">
        <v>840</v>
      </c>
      <c r="H8" s="44" t="s">
        <v>841</v>
      </c>
      <c r="I8" s="44" t="s">
        <v>842</v>
      </c>
      <c r="J8" s="44" t="s">
        <v>100</v>
      </c>
      <c r="K8" s="45" t="s">
        <v>101</v>
      </c>
    </row>
    <row r="9" spans="1:11" ht="111.75" customHeight="1" x14ac:dyDescent="0.25">
      <c r="A9" s="39" t="s">
        <v>102</v>
      </c>
      <c r="B9" s="40" t="s">
        <v>103</v>
      </c>
      <c r="C9" s="40" t="s">
        <v>8</v>
      </c>
      <c r="D9" s="40" t="s">
        <v>843</v>
      </c>
      <c r="E9" s="40" t="s">
        <v>844</v>
      </c>
      <c r="F9" s="40" t="s">
        <v>845</v>
      </c>
      <c r="G9" s="40" t="s">
        <v>846</v>
      </c>
      <c r="H9" s="40" t="s">
        <v>847</v>
      </c>
      <c r="I9" s="40" t="s">
        <v>848</v>
      </c>
      <c r="J9" s="40" t="s">
        <v>104</v>
      </c>
      <c r="K9" s="41" t="s">
        <v>101</v>
      </c>
    </row>
    <row r="10" spans="1:11" ht="111.75" customHeight="1" x14ac:dyDescent="0.25">
      <c r="A10" s="43" t="s">
        <v>105</v>
      </c>
      <c r="B10" s="44" t="s">
        <v>106</v>
      </c>
      <c r="C10" s="44" t="s">
        <v>7</v>
      </c>
      <c r="D10" s="44" t="s">
        <v>849</v>
      </c>
      <c r="E10" s="44" t="s">
        <v>850</v>
      </c>
      <c r="F10" s="44" t="s">
        <v>851</v>
      </c>
      <c r="G10" s="44" t="s">
        <v>852</v>
      </c>
      <c r="H10" s="44" t="s">
        <v>853</v>
      </c>
      <c r="I10" s="44" t="s">
        <v>854</v>
      </c>
      <c r="J10" s="44" t="s">
        <v>104</v>
      </c>
      <c r="K10" s="45" t="s">
        <v>101</v>
      </c>
    </row>
    <row r="11" spans="1:11" ht="111.75" customHeight="1" x14ac:dyDescent="0.25">
      <c r="A11" s="39" t="s">
        <v>107</v>
      </c>
      <c r="B11" s="40" t="s">
        <v>108</v>
      </c>
      <c r="C11" s="40" t="s">
        <v>96</v>
      </c>
      <c r="D11" s="40" t="s">
        <v>855</v>
      </c>
      <c r="E11" s="40" t="s">
        <v>856</v>
      </c>
      <c r="F11" s="40" t="s">
        <v>857</v>
      </c>
      <c r="G11" s="40" t="s">
        <v>858</v>
      </c>
      <c r="H11" s="40" t="s">
        <v>859</v>
      </c>
      <c r="I11" s="40" t="s">
        <v>860</v>
      </c>
      <c r="J11" s="40" t="s">
        <v>109</v>
      </c>
      <c r="K11" s="41" t="s">
        <v>110</v>
      </c>
    </row>
    <row r="12" spans="1:11" ht="111.75" customHeight="1" x14ac:dyDescent="0.25">
      <c r="A12" s="43" t="s">
        <v>111</v>
      </c>
      <c r="B12" s="47" t="s">
        <v>112</v>
      </c>
      <c r="C12" s="44" t="s">
        <v>7</v>
      </c>
      <c r="D12" s="44" t="s">
        <v>861</v>
      </c>
      <c r="E12" s="44" t="s">
        <v>862</v>
      </c>
      <c r="F12" s="44" t="s">
        <v>863</v>
      </c>
      <c r="G12" s="44" t="s">
        <v>864</v>
      </c>
      <c r="H12" s="44" t="s">
        <v>865</v>
      </c>
      <c r="I12" s="44" t="s">
        <v>866</v>
      </c>
      <c r="J12" s="44" t="s">
        <v>113</v>
      </c>
      <c r="K12" s="45" t="s">
        <v>110</v>
      </c>
    </row>
    <row r="13" spans="1:11" ht="111.75" customHeight="1" x14ac:dyDescent="0.25">
      <c r="A13" s="39" t="s">
        <v>114</v>
      </c>
      <c r="B13" s="40" t="s">
        <v>115</v>
      </c>
      <c r="C13" s="40" t="s">
        <v>7</v>
      </c>
      <c r="D13" s="40" t="s">
        <v>867</v>
      </c>
      <c r="E13" s="40" t="s">
        <v>868</v>
      </c>
      <c r="F13" s="40" t="s">
        <v>869</v>
      </c>
      <c r="G13" s="40" t="s">
        <v>870</v>
      </c>
      <c r="H13" s="40" t="s">
        <v>871</v>
      </c>
      <c r="I13" s="40" t="s">
        <v>872</v>
      </c>
      <c r="J13" s="40" t="s">
        <v>104</v>
      </c>
      <c r="K13" s="41" t="s">
        <v>110</v>
      </c>
    </row>
    <row r="14" spans="1:11" ht="111.75" customHeight="1" x14ac:dyDescent="0.25">
      <c r="A14" s="43" t="s">
        <v>116</v>
      </c>
      <c r="B14" s="44" t="s">
        <v>117</v>
      </c>
      <c r="C14" s="44" t="s">
        <v>96</v>
      </c>
      <c r="D14" s="44" t="s">
        <v>873</v>
      </c>
      <c r="E14" s="44" t="s">
        <v>874</v>
      </c>
      <c r="F14" s="44" t="s">
        <v>875</v>
      </c>
      <c r="G14" s="44" t="s">
        <v>876</v>
      </c>
      <c r="H14" s="44" t="s">
        <v>877</v>
      </c>
      <c r="I14" s="44" t="s">
        <v>878</v>
      </c>
      <c r="J14" s="44" t="s">
        <v>118</v>
      </c>
      <c r="K14" s="45" t="s">
        <v>119</v>
      </c>
    </row>
    <row r="16" spans="1:11" x14ac:dyDescent="0.25">
      <c r="A16" s="7" t="s">
        <v>879</v>
      </c>
      <c r="B16" s="7"/>
      <c r="C16" s="7"/>
      <c r="D16" s="7"/>
      <c r="E16" s="7"/>
      <c r="F16" s="7"/>
      <c r="G16" s="7"/>
      <c r="H16" s="7"/>
      <c r="I16" s="7"/>
      <c r="J16" s="7"/>
      <c r="K16" s="7"/>
    </row>
  </sheetData>
  <autoFilter ref="A4:K14" xr:uid="{00000000-0009-0000-0000-000004000000}"/>
  <mergeCells count="3">
    <mergeCell ref="A1:K1"/>
    <mergeCell ref="A2:K2"/>
    <mergeCell ref="A16:K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3"/>
  <sheetViews>
    <sheetView showGridLines="0" zoomScaleNormal="100" workbookViewId="0"/>
  </sheetViews>
  <sheetFormatPr baseColWidth="10" defaultColWidth="8.7109375" defaultRowHeight="15" x14ac:dyDescent="0.25"/>
  <cols>
    <col min="1" max="1" width="22" customWidth="1"/>
    <col min="2" max="2" width="40" customWidth="1"/>
    <col min="3" max="3" width="52" customWidth="1"/>
    <col min="4" max="4" width="14" customWidth="1"/>
    <col min="5" max="5" width="36" customWidth="1"/>
    <col min="6" max="6" width="74" customWidth="1"/>
    <col min="7" max="7" width="16" customWidth="1"/>
  </cols>
  <sheetData>
    <row r="1" spans="1:7" ht="33.75" customHeight="1" x14ac:dyDescent="0.25">
      <c r="A1" s="9" t="s">
        <v>880</v>
      </c>
      <c r="B1" s="9"/>
      <c r="C1" s="9"/>
      <c r="D1" s="9"/>
      <c r="E1" s="9"/>
      <c r="F1" s="9"/>
      <c r="G1" s="9"/>
    </row>
    <row r="2" spans="1:7" ht="18" customHeight="1" x14ac:dyDescent="0.25">
      <c r="A2" s="8" t="s">
        <v>881</v>
      </c>
      <c r="B2" s="8"/>
      <c r="C2" s="8"/>
      <c r="D2" s="8"/>
      <c r="E2" s="8"/>
      <c r="F2" s="8"/>
      <c r="G2" s="8"/>
    </row>
    <row r="4" spans="1:7" ht="21.75" customHeight="1" x14ac:dyDescent="0.25">
      <c r="A4" s="6" t="s">
        <v>882</v>
      </c>
      <c r="B4" s="6"/>
      <c r="C4" s="6"/>
      <c r="D4" s="6"/>
      <c r="E4" s="6"/>
      <c r="F4" s="6"/>
      <c r="G4" s="6"/>
    </row>
    <row r="5" spans="1:7" ht="37.5" customHeight="1" x14ac:dyDescent="0.25">
      <c r="A5" s="48" t="s">
        <v>21</v>
      </c>
      <c r="B5" s="3" t="s">
        <v>883</v>
      </c>
      <c r="C5" s="3"/>
      <c r="D5" s="3"/>
      <c r="E5" s="3"/>
      <c r="F5" s="3"/>
      <c r="G5" s="3"/>
    </row>
    <row r="6" spans="1:7" ht="27.75" customHeight="1" x14ac:dyDescent="0.25">
      <c r="A6" s="48" t="s">
        <v>22</v>
      </c>
      <c r="B6" s="3" t="s">
        <v>884</v>
      </c>
      <c r="C6" s="3"/>
      <c r="D6" s="3"/>
      <c r="E6" s="3"/>
      <c r="F6" s="3"/>
      <c r="G6" s="3"/>
    </row>
    <row r="7" spans="1:7" ht="27.75" customHeight="1" x14ac:dyDescent="0.25">
      <c r="A7" s="48" t="s">
        <v>23</v>
      </c>
      <c r="B7" s="3" t="s">
        <v>885</v>
      </c>
      <c r="C7" s="3"/>
      <c r="D7" s="3"/>
      <c r="E7" s="3"/>
      <c r="F7" s="3"/>
      <c r="G7" s="3"/>
    </row>
    <row r="8" spans="1:7" ht="37.5" customHeight="1" x14ac:dyDescent="0.25">
      <c r="A8" s="48" t="s">
        <v>886</v>
      </c>
      <c r="B8" s="3" t="s">
        <v>887</v>
      </c>
      <c r="C8" s="3"/>
      <c r="D8" s="3"/>
      <c r="E8" s="3"/>
      <c r="F8" s="3"/>
      <c r="G8" s="3"/>
    </row>
    <row r="9" spans="1:7" ht="49.5" customHeight="1" x14ac:dyDescent="0.25">
      <c r="A9" s="48" t="s">
        <v>888</v>
      </c>
      <c r="B9" s="3" t="s">
        <v>889</v>
      </c>
      <c r="C9" s="3"/>
      <c r="D9" s="3"/>
      <c r="E9" s="3"/>
      <c r="F9" s="3"/>
      <c r="G9" s="3"/>
    </row>
    <row r="10" spans="1:7" ht="37.5" customHeight="1" x14ac:dyDescent="0.25">
      <c r="A10" s="48" t="s">
        <v>890</v>
      </c>
      <c r="B10" s="3" t="s">
        <v>891</v>
      </c>
      <c r="C10" s="3"/>
      <c r="D10" s="3"/>
      <c r="E10" s="3"/>
      <c r="F10" s="3"/>
      <c r="G10" s="3"/>
    </row>
    <row r="12" spans="1:7" ht="21.75" customHeight="1" x14ac:dyDescent="0.25">
      <c r="A12" s="6" t="s">
        <v>892</v>
      </c>
      <c r="B12" s="6"/>
      <c r="C12" s="6"/>
      <c r="D12" s="6"/>
      <c r="E12" s="6"/>
      <c r="F12" s="6"/>
      <c r="G12" s="6"/>
    </row>
    <row r="13" spans="1:7" ht="37.5" customHeight="1" x14ac:dyDescent="0.25">
      <c r="A13" s="48" t="s">
        <v>21</v>
      </c>
      <c r="B13" s="3" t="s">
        <v>893</v>
      </c>
      <c r="C13" s="3"/>
      <c r="D13" s="3"/>
      <c r="E13" s="3"/>
      <c r="F13" s="3"/>
      <c r="G13" s="3"/>
    </row>
    <row r="14" spans="1:7" ht="27.75" customHeight="1" x14ac:dyDescent="0.25">
      <c r="A14" s="48" t="s">
        <v>22</v>
      </c>
      <c r="B14" s="3" t="s">
        <v>894</v>
      </c>
      <c r="C14" s="3"/>
      <c r="D14" s="3"/>
      <c r="E14" s="3"/>
      <c r="F14" s="3"/>
      <c r="G14" s="3"/>
    </row>
    <row r="15" spans="1:7" ht="27.75" customHeight="1" x14ac:dyDescent="0.25">
      <c r="A15" s="48" t="s">
        <v>23</v>
      </c>
      <c r="B15" s="3" t="s">
        <v>895</v>
      </c>
      <c r="C15" s="3"/>
      <c r="D15" s="3"/>
      <c r="E15" s="3"/>
      <c r="F15" s="3"/>
      <c r="G15" s="3"/>
    </row>
    <row r="16" spans="1:7" ht="37.5" customHeight="1" x14ac:dyDescent="0.25">
      <c r="A16" s="48" t="s">
        <v>886</v>
      </c>
      <c r="B16" s="3" t="s">
        <v>896</v>
      </c>
      <c r="C16" s="3"/>
      <c r="D16" s="3"/>
      <c r="E16" s="3"/>
      <c r="F16" s="3"/>
      <c r="G16" s="3"/>
    </row>
    <row r="17" spans="1:7" ht="37.5" customHeight="1" x14ac:dyDescent="0.25">
      <c r="A17" s="48" t="s">
        <v>888</v>
      </c>
      <c r="B17" s="3" t="s">
        <v>897</v>
      </c>
      <c r="C17" s="3"/>
      <c r="D17" s="3"/>
      <c r="E17" s="3"/>
      <c r="F17" s="3"/>
      <c r="G17" s="3"/>
    </row>
    <row r="18" spans="1:7" ht="37.5" customHeight="1" x14ac:dyDescent="0.25">
      <c r="A18" s="48" t="s">
        <v>890</v>
      </c>
      <c r="B18" s="3" t="s">
        <v>898</v>
      </c>
      <c r="C18" s="3"/>
      <c r="D18" s="3"/>
      <c r="E18" s="3"/>
      <c r="F18" s="3"/>
      <c r="G18" s="3"/>
    </row>
    <row r="20" spans="1:7" ht="21.75" customHeight="1" x14ac:dyDescent="0.25">
      <c r="A20" s="6" t="s">
        <v>899</v>
      </c>
      <c r="B20" s="6"/>
      <c r="C20" s="6"/>
      <c r="D20" s="6"/>
      <c r="E20" s="6"/>
      <c r="F20" s="6"/>
      <c r="G20" s="6"/>
    </row>
    <row r="21" spans="1:7" ht="37.5" customHeight="1" x14ac:dyDescent="0.25">
      <c r="A21" s="49" t="s">
        <v>900</v>
      </c>
      <c r="B21" s="3" t="s">
        <v>901</v>
      </c>
      <c r="C21" s="3"/>
      <c r="D21" s="3"/>
      <c r="E21" s="3"/>
      <c r="F21" s="3"/>
      <c r="G21" s="3"/>
    </row>
    <row r="22" spans="1:7" ht="27.75" customHeight="1" x14ac:dyDescent="0.25">
      <c r="A22" s="49" t="s">
        <v>902</v>
      </c>
      <c r="B22" s="3" t="s">
        <v>903</v>
      </c>
      <c r="C22" s="3"/>
      <c r="D22" s="3"/>
      <c r="E22" s="3"/>
      <c r="F22" s="3"/>
      <c r="G22" s="3"/>
    </row>
    <row r="23" spans="1:7" ht="27.75" customHeight="1" x14ac:dyDescent="0.25">
      <c r="A23" s="49" t="s">
        <v>904</v>
      </c>
      <c r="B23" s="3" t="s">
        <v>905</v>
      </c>
      <c r="C23" s="3"/>
      <c r="D23" s="3"/>
      <c r="E23" s="3"/>
      <c r="F23" s="3"/>
      <c r="G23" s="3"/>
    </row>
    <row r="24" spans="1:7" ht="27.75" customHeight="1" x14ac:dyDescent="0.25">
      <c r="A24" s="49" t="s">
        <v>906</v>
      </c>
      <c r="B24" s="3" t="s">
        <v>907</v>
      </c>
      <c r="C24" s="3"/>
      <c r="D24" s="3"/>
      <c r="E24" s="3"/>
      <c r="F24" s="3"/>
      <c r="G24" s="3"/>
    </row>
    <row r="25" spans="1:7" ht="27.75" customHeight="1" x14ac:dyDescent="0.25">
      <c r="A25" s="49" t="s">
        <v>908</v>
      </c>
      <c r="B25" s="3" t="s">
        <v>909</v>
      </c>
      <c r="C25" s="3"/>
      <c r="D25" s="3"/>
      <c r="E25" s="3"/>
      <c r="F25" s="3"/>
      <c r="G25" s="3"/>
    </row>
    <row r="26" spans="1:7" ht="27.75" customHeight="1" x14ac:dyDescent="0.25">
      <c r="A26" s="49" t="s">
        <v>910</v>
      </c>
      <c r="B26" s="3" t="s">
        <v>911</v>
      </c>
      <c r="C26" s="3"/>
      <c r="D26" s="3"/>
      <c r="E26" s="3"/>
      <c r="F26" s="3"/>
      <c r="G26" s="3"/>
    </row>
    <row r="27" spans="1:7" ht="27.75" customHeight="1" x14ac:dyDescent="0.25">
      <c r="A27" s="49" t="s">
        <v>912</v>
      </c>
      <c r="B27" s="3" t="s">
        <v>913</v>
      </c>
      <c r="C27" s="3"/>
      <c r="D27" s="3"/>
      <c r="E27" s="3"/>
      <c r="F27" s="3"/>
      <c r="G27" s="3"/>
    </row>
    <row r="29" spans="1:7" ht="21.75" customHeight="1" x14ac:dyDescent="0.25">
      <c r="A29" s="6" t="s">
        <v>914</v>
      </c>
      <c r="B29" s="6"/>
      <c r="C29" s="6"/>
      <c r="D29" s="6"/>
      <c r="E29" s="6"/>
      <c r="F29" s="6"/>
      <c r="G29" s="6"/>
    </row>
    <row r="30" spans="1:7" x14ac:dyDescent="0.25">
      <c r="A30" s="10" t="s">
        <v>45</v>
      </c>
      <c r="B30" s="10" t="s">
        <v>49</v>
      </c>
      <c r="C30" s="10" t="s">
        <v>915</v>
      </c>
      <c r="D30" s="10" t="s">
        <v>145</v>
      </c>
      <c r="E30" s="10" t="s">
        <v>15</v>
      </c>
      <c r="F30" s="10" t="s">
        <v>916</v>
      </c>
      <c r="G30" s="10" t="s">
        <v>917</v>
      </c>
    </row>
    <row r="31" spans="1:7" x14ac:dyDescent="0.25">
      <c r="A31" s="40" t="s">
        <v>7</v>
      </c>
      <c r="B31" s="50" t="s">
        <v>918</v>
      </c>
      <c r="C31" s="40" t="s">
        <v>55</v>
      </c>
      <c r="D31" s="41">
        <v>4</v>
      </c>
      <c r="E31" s="40" t="s">
        <v>21</v>
      </c>
      <c r="F31" s="40" t="s">
        <v>919</v>
      </c>
      <c r="G31" s="41" t="s">
        <v>920</v>
      </c>
    </row>
    <row r="32" spans="1:7" x14ac:dyDescent="0.25">
      <c r="A32" s="44" t="s">
        <v>7</v>
      </c>
      <c r="B32" s="50" t="s">
        <v>918</v>
      </c>
      <c r="C32" s="44" t="s">
        <v>62</v>
      </c>
      <c r="D32" s="45">
        <v>6</v>
      </c>
      <c r="E32" s="44" t="s">
        <v>21</v>
      </c>
      <c r="F32" s="44" t="s">
        <v>921</v>
      </c>
      <c r="G32" s="45" t="s">
        <v>920</v>
      </c>
    </row>
    <row r="33" spans="1:7" x14ac:dyDescent="0.25">
      <c r="A33" s="40" t="s">
        <v>7</v>
      </c>
      <c r="B33" s="50" t="s">
        <v>918</v>
      </c>
      <c r="C33" s="40" t="s">
        <v>68</v>
      </c>
      <c r="D33" s="41">
        <v>6</v>
      </c>
      <c r="E33" s="40" t="s">
        <v>21</v>
      </c>
      <c r="F33" s="40" t="s">
        <v>922</v>
      </c>
      <c r="G33" s="41" t="s">
        <v>920</v>
      </c>
    </row>
    <row r="34" spans="1:7" ht="25.5" customHeight="1" x14ac:dyDescent="0.25">
      <c r="A34" s="44" t="s">
        <v>7</v>
      </c>
      <c r="B34" s="50" t="s">
        <v>918</v>
      </c>
      <c r="C34" s="44" t="s">
        <v>56</v>
      </c>
      <c r="D34" s="45">
        <v>7</v>
      </c>
      <c r="E34" s="44" t="s">
        <v>57</v>
      </c>
      <c r="F34" s="44" t="s">
        <v>923</v>
      </c>
      <c r="G34" s="45" t="s">
        <v>920</v>
      </c>
    </row>
    <row r="35" spans="1:7" x14ac:dyDescent="0.25">
      <c r="A35" s="40" t="s">
        <v>7</v>
      </c>
      <c r="B35" s="50" t="s">
        <v>918</v>
      </c>
      <c r="C35" s="40" t="s">
        <v>477</v>
      </c>
      <c r="D35" s="41">
        <v>8</v>
      </c>
      <c r="E35" s="40" t="s">
        <v>23</v>
      </c>
      <c r="F35" s="40" t="s">
        <v>924</v>
      </c>
      <c r="G35" s="41" t="s">
        <v>920</v>
      </c>
    </row>
    <row r="36" spans="1:7" ht="25.5" customHeight="1" x14ac:dyDescent="0.25">
      <c r="A36" s="44" t="s">
        <v>7</v>
      </c>
      <c r="B36" s="51" t="s">
        <v>925</v>
      </c>
      <c r="C36" s="44" t="s">
        <v>70</v>
      </c>
      <c r="D36" s="45">
        <v>5</v>
      </c>
      <c r="E36" s="44" t="s">
        <v>71</v>
      </c>
      <c r="F36" s="44" t="s">
        <v>926</v>
      </c>
      <c r="G36" s="45" t="s">
        <v>927</v>
      </c>
    </row>
    <row r="37" spans="1:7" ht="25.5" customHeight="1" x14ac:dyDescent="0.25">
      <c r="A37" s="40" t="s">
        <v>7</v>
      </c>
      <c r="B37" s="51" t="s">
        <v>925</v>
      </c>
      <c r="C37" s="40" t="s">
        <v>75</v>
      </c>
      <c r="D37" s="41">
        <v>6</v>
      </c>
      <c r="E37" s="40" t="s">
        <v>22</v>
      </c>
      <c r="F37" s="40" t="s">
        <v>928</v>
      </c>
      <c r="G37" s="41" t="s">
        <v>927</v>
      </c>
    </row>
    <row r="38" spans="1:7" ht="25.5" customHeight="1" x14ac:dyDescent="0.25">
      <c r="A38" s="44" t="s">
        <v>7</v>
      </c>
      <c r="B38" s="51" t="s">
        <v>925</v>
      </c>
      <c r="C38" s="44" t="s">
        <v>76</v>
      </c>
      <c r="D38" s="45">
        <v>5</v>
      </c>
      <c r="E38" s="44" t="s">
        <v>57</v>
      </c>
      <c r="F38" s="44" t="s">
        <v>929</v>
      </c>
      <c r="G38" s="45" t="s">
        <v>927</v>
      </c>
    </row>
    <row r="39" spans="1:7" ht="25.5" customHeight="1" x14ac:dyDescent="0.25">
      <c r="A39" s="40" t="s">
        <v>7</v>
      </c>
      <c r="B39" s="51" t="s">
        <v>925</v>
      </c>
      <c r="C39" s="40" t="s">
        <v>289</v>
      </c>
      <c r="D39" s="41">
        <v>3</v>
      </c>
      <c r="E39" s="40" t="s">
        <v>21</v>
      </c>
      <c r="F39" s="40" t="s">
        <v>930</v>
      </c>
      <c r="G39" s="41" t="s">
        <v>927</v>
      </c>
    </row>
    <row r="40" spans="1:7" ht="25.5" customHeight="1" x14ac:dyDescent="0.25">
      <c r="A40" s="44" t="s">
        <v>7</v>
      </c>
      <c r="B40" s="51" t="s">
        <v>925</v>
      </c>
      <c r="C40" s="44" t="s">
        <v>931</v>
      </c>
      <c r="D40" s="45">
        <v>4</v>
      </c>
      <c r="E40" s="44" t="s">
        <v>21</v>
      </c>
      <c r="F40" s="44" t="s">
        <v>932</v>
      </c>
      <c r="G40" s="45" t="s">
        <v>927</v>
      </c>
    </row>
    <row r="41" spans="1:7" ht="25.5" customHeight="1" x14ac:dyDescent="0.25">
      <c r="A41" s="40" t="s">
        <v>7</v>
      </c>
      <c r="B41" s="51" t="s">
        <v>925</v>
      </c>
      <c r="C41" s="40" t="s">
        <v>388</v>
      </c>
      <c r="D41" s="41">
        <v>6</v>
      </c>
      <c r="E41" s="40" t="s">
        <v>23</v>
      </c>
      <c r="F41" s="40" t="s">
        <v>933</v>
      </c>
      <c r="G41" s="41" t="s">
        <v>927</v>
      </c>
    </row>
    <row r="42" spans="1:7" ht="25.5" customHeight="1" x14ac:dyDescent="0.25">
      <c r="A42" s="44" t="s">
        <v>7</v>
      </c>
      <c r="B42" s="51" t="s">
        <v>925</v>
      </c>
      <c r="C42" s="44" t="s">
        <v>934</v>
      </c>
      <c r="D42" s="45" t="s">
        <v>935</v>
      </c>
      <c r="E42" s="44" t="s">
        <v>936</v>
      </c>
      <c r="F42" s="44" t="s">
        <v>937</v>
      </c>
      <c r="G42" s="45" t="s">
        <v>927</v>
      </c>
    </row>
    <row r="43" spans="1:7" ht="25.5" customHeight="1" x14ac:dyDescent="0.25">
      <c r="A43" s="40" t="s">
        <v>7</v>
      </c>
      <c r="B43" s="52" t="s">
        <v>938</v>
      </c>
      <c r="C43" s="40" t="s">
        <v>939</v>
      </c>
      <c r="D43" s="41">
        <v>6</v>
      </c>
      <c r="E43" s="40" t="s">
        <v>940</v>
      </c>
      <c r="F43" s="40" t="s">
        <v>941</v>
      </c>
      <c r="G43" s="41" t="s">
        <v>942</v>
      </c>
    </row>
    <row r="44" spans="1:7" ht="25.5" customHeight="1" x14ac:dyDescent="0.25">
      <c r="A44" s="44" t="s">
        <v>7</v>
      </c>
      <c r="B44" s="52" t="s">
        <v>938</v>
      </c>
      <c r="C44" s="44" t="s">
        <v>469</v>
      </c>
      <c r="D44" s="45">
        <v>8</v>
      </c>
      <c r="E44" s="44" t="s">
        <v>943</v>
      </c>
      <c r="F44" s="44" t="s">
        <v>944</v>
      </c>
      <c r="G44" s="45" t="s">
        <v>942</v>
      </c>
    </row>
    <row r="45" spans="1:7" ht="25.5" customHeight="1" x14ac:dyDescent="0.25">
      <c r="A45" s="40" t="s">
        <v>7</v>
      </c>
      <c r="B45" s="52" t="s">
        <v>938</v>
      </c>
      <c r="C45" s="40" t="s">
        <v>945</v>
      </c>
      <c r="D45" s="41">
        <v>5</v>
      </c>
      <c r="E45" s="40" t="s">
        <v>946</v>
      </c>
      <c r="F45" s="40" t="s">
        <v>947</v>
      </c>
      <c r="G45" s="41" t="s">
        <v>942</v>
      </c>
    </row>
    <row r="46" spans="1:7" ht="25.5" customHeight="1" x14ac:dyDescent="0.25">
      <c r="A46" s="44" t="s">
        <v>8</v>
      </c>
      <c r="B46" s="50" t="s">
        <v>918</v>
      </c>
      <c r="C46" s="44" t="s">
        <v>52</v>
      </c>
      <c r="D46" s="45">
        <v>7</v>
      </c>
      <c r="E46" s="44" t="s">
        <v>23</v>
      </c>
      <c r="F46" s="44" t="s">
        <v>948</v>
      </c>
      <c r="G46" s="45" t="s">
        <v>920</v>
      </c>
    </row>
    <row r="47" spans="1:7" x14ac:dyDescent="0.25">
      <c r="A47" s="40" t="s">
        <v>8</v>
      </c>
      <c r="B47" s="50" t="s">
        <v>918</v>
      </c>
      <c r="C47" s="40" t="s">
        <v>59</v>
      </c>
      <c r="D47" s="41">
        <v>5</v>
      </c>
      <c r="E47" s="40" t="s">
        <v>60</v>
      </c>
      <c r="F47" s="40" t="s">
        <v>949</v>
      </c>
      <c r="G47" s="41" t="s">
        <v>920</v>
      </c>
    </row>
    <row r="48" spans="1:7" x14ac:dyDescent="0.25">
      <c r="A48" s="44" t="s">
        <v>8</v>
      </c>
      <c r="B48" s="50" t="s">
        <v>918</v>
      </c>
      <c r="C48" s="44" t="s">
        <v>69</v>
      </c>
      <c r="D48" s="45">
        <v>4</v>
      </c>
      <c r="E48" s="44" t="s">
        <v>22</v>
      </c>
      <c r="F48" s="44" t="s">
        <v>950</v>
      </c>
      <c r="G48" s="45" t="s">
        <v>920</v>
      </c>
    </row>
    <row r="49" spans="1:7" x14ac:dyDescent="0.25">
      <c r="A49" s="40" t="s">
        <v>8</v>
      </c>
      <c r="B49" s="50" t="s">
        <v>918</v>
      </c>
      <c r="C49" s="40" t="s">
        <v>56</v>
      </c>
      <c r="D49" s="41">
        <v>6</v>
      </c>
      <c r="E49" s="40" t="s">
        <v>67</v>
      </c>
      <c r="F49" s="40" t="s">
        <v>951</v>
      </c>
      <c r="G49" s="41" t="s">
        <v>920</v>
      </c>
    </row>
    <row r="50" spans="1:7" ht="25.5" customHeight="1" x14ac:dyDescent="0.25">
      <c r="A50" s="44" t="s">
        <v>8</v>
      </c>
      <c r="B50" s="50" t="s">
        <v>918</v>
      </c>
      <c r="C50" s="44" t="s">
        <v>55</v>
      </c>
      <c r="D50" s="45">
        <v>8</v>
      </c>
      <c r="E50" s="44" t="s">
        <v>952</v>
      </c>
      <c r="F50" s="44" t="s">
        <v>953</v>
      </c>
      <c r="G50" s="45" t="s">
        <v>920</v>
      </c>
    </row>
    <row r="51" spans="1:7" ht="25.5" customHeight="1" x14ac:dyDescent="0.25">
      <c r="A51" s="40" t="s">
        <v>63</v>
      </c>
      <c r="B51" s="50" t="s">
        <v>918</v>
      </c>
      <c r="C51" s="40" t="s">
        <v>65</v>
      </c>
      <c r="D51" s="41" t="s">
        <v>954</v>
      </c>
      <c r="E51" s="40" t="s">
        <v>955</v>
      </c>
      <c r="F51" s="40" t="s">
        <v>956</v>
      </c>
      <c r="G51" s="41" t="s">
        <v>920</v>
      </c>
    </row>
    <row r="52" spans="1:7" ht="25.5" customHeight="1" x14ac:dyDescent="0.25">
      <c r="A52" s="44" t="s">
        <v>63</v>
      </c>
      <c r="B52" s="51" t="s">
        <v>925</v>
      </c>
      <c r="C52" s="44" t="s">
        <v>162</v>
      </c>
      <c r="D52" s="45" t="s">
        <v>957</v>
      </c>
      <c r="E52" s="44" t="s">
        <v>958</v>
      </c>
      <c r="F52" s="44" t="s">
        <v>959</v>
      </c>
      <c r="G52" s="45" t="s">
        <v>927</v>
      </c>
    </row>
    <row r="53" spans="1:7" ht="25.5" customHeight="1" x14ac:dyDescent="0.25">
      <c r="A53" s="40" t="s">
        <v>8</v>
      </c>
      <c r="B53" s="51" t="s">
        <v>925</v>
      </c>
      <c r="C53" s="40" t="s">
        <v>78</v>
      </c>
      <c r="D53" s="41">
        <v>3</v>
      </c>
      <c r="E53" s="40" t="s">
        <v>22</v>
      </c>
      <c r="F53" s="40" t="s">
        <v>960</v>
      </c>
      <c r="G53" s="41" t="s">
        <v>927</v>
      </c>
    </row>
    <row r="54" spans="1:7" ht="25.5" customHeight="1" x14ac:dyDescent="0.25">
      <c r="A54" s="44" t="s">
        <v>8</v>
      </c>
      <c r="B54" s="51" t="s">
        <v>925</v>
      </c>
      <c r="C54" s="44" t="s">
        <v>73</v>
      </c>
      <c r="D54" s="45">
        <v>8</v>
      </c>
      <c r="E54" s="44" t="s">
        <v>71</v>
      </c>
      <c r="F54" s="44" t="s">
        <v>961</v>
      </c>
      <c r="G54" s="45" t="s">
        <v>927</v>
      </c>
    </row>
    <row r="55" spans="1:7" ht="25.5" customHeight="1" x14ac:dyDescent="0.25">
      <c r="A55" s="40" t="s">
        <v>8</v>
      </c>
      <c r="B55" s="51" t="s">
        <v>925</v>
      </c>
      <c r="C55" s="40" t="s">
        <v>477</v>
      </c>
      <c r="D55" s="41">
        <v>8</v>
      </c>
      <c r="E55" s="40" t="s">
        <v>795</v>
      </c>
      <c r="F55" s="40" t="s">
        <v>962</v>
      </c>
      <c r="G55" s="41" t="s">
        <v>927</v>
      </c>
    </row>
    <row r="56" spans="1:7" ht="25.5" customHeight="1" x14ac:dyDescent="0.25">
      <c r="A56" s="44" t="s">
        <v>8</v>
      </c>
      <c r="B56" s="51" t="s">
        <v>925</v>
      </c>
      <c r="C56" s="44" t="s">
        <v>524</v>
      </c>
      <c r="D56" s="45">
        <v>2</v>
      </c>
      <c r="E56" s="44" t="s">
        <v>21</v>
      </c>
      <c r="F56" s="44" t="s">
        <v>963</v>
      </c>
      <c r="G56" s="45" t="s">
        <v>927</v>
      </c>
    </row>
    <row r="57" spans="1:7" ht="25.5" customHeight="1" x14ac:dyDescent="0.25">
      <c r="A57" s="40" t="s">
        <v>8</v>
      </c>
      <c r="B57" s="51" t="s">
        <v>925</v>
      </c>
      <c r="C57" s="40" t="s">
        <v>964</v>
      </c>
      <c r="D57" s="41" t="s">
        <v>965</v>
      </c>
      <c r="E57" s="40" t="s">
        <v>21</v>
      </c>
      <c r="F57" s="40" t="s">
        <v>966</v>
      </c>
      <c r="G57" s="41" t="s">
        <v>927</v>
      </c>
    </row>
    <row r="58" spans="1:7" ht="25.5" customHeight="1" x14ac:dyDescent="0.25">
      <c r="A58" s="44" t="s">
        <v>8</v>
      </c>
      <c r="B58" s="51" t="s">
        <v>925</v>
      </c>
      <c r="C58" s="44" t="s">
        <v>934</v>
      </c>
      <c r="D58" s="45" t="s">
        <v>935</v>
      </c>
      <c r="E58" s="44" t="s">
        <v>936</v>
      </c>
      <c r="F58" s="44" t="s">
        <v>967</v>
      </c>
      <c r="G58" s="45" t="s">
        <v>927</v>
      </c>
    </row>
    <row r="59" spans="1:7" ht="25.5" customHeight="1" x14ac:dyDescent="0.25">
      <c r="A59" s="40" t="s">
        <v>8</v>
      </c>
      <c r="B59" s="51" t="s">
        <v>925</v>
      </c>
      <c r="C59" s="40" t="s">
        <v>968</v>
      </c>
      <c r="D59" s="41">
        <v>8</v>
      </c>
      <c r="E59" s="40" t="s">
        <v>969</v>
      </c>
      <c r="F59" s="40" t="s">
        <v>970</v>
      </c>
      <c r="G59" s="41" t="s">
        <v>927</v>
      </c>
    </row>
    <row r="60" spans="1:7" ht="25.5" customHeight="1" x14ac:dyDescent="0.25">
      <c r="A60" s="44" t="s">
        <v>8</v>
      </c>
      <c r="B60" s="52" t="s">
        <v>938</v>
      </c>
      <c r="C60" s="44" t="s">
        <v>632</v>
      </c>
      <c r="D60" s="45">
        <v>7</v>
      </c>
      <c r="E60" s="44" t="s">
        <v>971</v>
      </c>
      <c r="F60" s="44" t="s">
        <v>972</v>
      </c>
      <c r="G60" s="45" t="s">
        <v>942</v>
      </c>
    </row>
    <row r="61" spans="1:7" ht="25.5" customHeight="1" x14ac:dyDescent="0.25">
      <c r="A61" s="40" t="s">
        <v>8</v>
      </c>
      <c r="B61" s="52" t="s">
        <v>938</v>
      </c>
      <c r="C61" s="40" t="s">
        <v>671</v>
      </c>
      <c r="D61" s="41">
        <v>8</v>
      </c>
      <c r="E61" s="40" t="s">
        <v>973</v>
      </c>
      <c r="F61" s="40" t="s">
        <v>974</v>
      </c>
      <c r="G61" s="41" t="s">
        <v>942</v>
      </c>
    </row>
    <row r="63" spans="1:7" ht="21.75" customHeight="1" x14ac:dyDescent="0.25">
      <c r="A63" s="6" t="s">
        <v>975</v>
      </c>
      <c r="B63" s="6"/>
      <c r="C63" s="6"/>
      <c r="D63" s="6"/>
      <c r="E63" s="6"/>
      <c r="F63" s="6"/>
      <c r="G63" s="6"/>
    </row>
    <row r="64" spans="1:7" ht="24.75" customHeight="1" x14ac:dyDescent="0.25">
      <c r="A64" s="5" t="s">
        <v>976</v>
      </c>
      <c r="B64" s="5"/>
      <c r="C64" s="5"/>
      <c r="D64" s="5"/>
      <c r="E64" s="5"/>
      <c r="F64" s="5"/>
      <c r="G64" s="5"/>
    </row>
    <row r="65" spans="1:7" ht="24.75" customHeight="1" x14ac:dyDescent="0.25">
      <c r="A65" s="5" t="s">
        <v>977</v>
      </c>
      <c r="B65" s="5"/>
      <c r="C65" s="5"/>
      <c r="D65" s="5"/>
      <c r="E65" s="5"/>
      <c r="F65" s="5"/>
      <c r="G65" s="5"/>
    </row>
    <row r="66" spans="1:7" ht="24.75" customHeight="1" x14ac:dyDescent="0.25">
      <c r="A66" s="5" t="s">
        <v>978</v>
      </c>
      <c r="B66" s="5"/>
      <c r="C66" s="5"/>
      <c r="D66" s="5"/>
      <c r="E66" s="5"/>
      <c r="F66" s="5"/>
      <c r="G66" s="5"/>
    </row>
    <row r="67" spans="1:7" ht="24.75" customHeight="1" x14ac:dyDescent="0.25">
      <c r="A67" s="5" t="s">
        <v>979</v>
      </c>
      <c r="B67" s="5"/>
      <c r="C67" s="5"/>
      <c r="D67" s="5"/>
      <c r="E67" s="5"/>
      <c r="F67" s="5"/>
      <c r="G67" s="5"/>
    </row>
    <row r="68" spans="1:7" ht="24.75" customHeight="1" x14ac:dyDescent="0.25">
      <c r="A68" s="5" t="s">
        <v>980</v>
      </c>
      <c r="B68" s="5"/>
      <c r="C68" s="5"/>
      <c r="D68" s="5"/>
      <c r="E68" s="5"/>
      <c r="F68" s="5"/>
      <c r="G68" s="5"/>
    </row>
    <row r="69" spans="1:7" ht="24.75" customHeight="1" x14ac:dyDescent="0.25">
      <c r="A69" s="5" t="s">
        <v>981</v>
      </c>
      <c r="B69" s="5"/>
      <c r="C69" s="5"/>
      <c r="D69" s="5"/>
      <c r="E69" s="5"/>
      <c r="F69" s="5"/>
      <c r="G69" s="5"/>
    </row>
    <row r="70" spans="1:7" ht="24.75" customHeight="1" x14ac:dyDescent="0.25">
      <c r="A70" s="5" t="s">
        <v>982</v>
      </c>
      <c r="B70" s="5"/>
      <c r="C70" s="5"/>
      <c r="D70" s="5"/>
      <c r="E70" s="5"/>
      <c r="F70" s="5"/>
      <c r="G70" s="5"/>
    </row>
    <row r="71" spans="1:7" ht="24.75" customHeight="1" x14ac:dyDescent="0.25">
      <c r="A71" s="5" t="s">
        <v>983</v>
      </c>
      <c r="B71" s="5"/>
      <c r="C71" s="5"/>
      <c r="D71" s="5"/>
      <c r="E71" s="5"/>
      <c r="F71" s="5"/>
      <c r="G71" s="5"/>
    </row>
    <row r="72" spans="1:7" ht="24.75" customHeight="1" x14ac:dyDescent="0.25">
      <c r="A72" s="5" t="s">
        <v>984</v>
      </c>
      <c r="B72" s="5"/>
      <c r="C72" s="5"/>
      <c r="D72" s="5"/>
      <c r="E72" s="5"/>
      <c r="F72" s="5"/>
      <c r="G72" s="5"/>
    </row>
    <row r="73" spans="1:7" ht="24.75" customHeight="1" x14ac:dyDescent="0.25">
      <c r="A73" s="5" t="s">
        <v>985</v>
      </c>
      <c r="B73" s="5"/>
      <c r="C73" s="5"/>
      <c r="D73" s="5"/>
      <c r="E73" s="5"/>
      <c r="F73" s="5"/>
      <c r="G73" s="5"/>
    </row>
  </sheetData>
  <autoFilter ref="A30:G61" xr:uid="{00000000-0009-0000-0000-000005000000}"/>
  <mergeCells count="36">
    <mergeCell ref="A73:G73"/>
    <mergeCell ref="A68:G68"/>
    <mergeCell ref="A69:G69"/>
    <mergeCell ref="A70:G70"/>
    <mergeCell ref="A71:G71"/>
    <mergeCell ref="A72:G72"/>
    <mergeCell ref="A63:G63"/>
    <mergeCell ref="A64:G64"/>
    <mergeCell ref="A65:G65"/>
    <mergeCell ref="A66:G66"/>
    <mergeCell ref="A67:G67"/>
    <mergeCell ref="B24:G24"/>
    <mergeCell ref="B25:G25"/>
    <mergeCell ref="B26:G26"/>
    <mergeCell ref="B27:G27"/>
    <mergeCell ref="A29:G29"/>
    <mergeCell ref="B18:G18"/>
    <mergeCell ref="A20:G20"/>
    <mergeCell ref="B21:G21"/>
    <mergeCell ref="B22:G22"/>
    <mergeCell ref="B23:G23"/>
    <mergeCell ref="B13:G13"/>
    <mergeCell ref="B14:G14"/>
    <mergeCell ref="B15:G15"/>
    <mergeCell ref="B16:G16"/>
    <mergeCell ref="B17:G17"/>
    <mergeCell ref="B7:G7"/>
    <mergeCell ref="B8:G8"/>
    <mergeCell ref="B9:G9"/>
    <mergeCell ref="B10:G10"/>
    <mergeCell ref="A12:G12"/>
    <mergeCell ref="A1:G1"/>
    <mergeCell ref="A2:G2"/>
    <mergeCell ref="A4:G4"/>
    <mergeCell ref="B5:G5"/>
    <mergeCell ref="B6:G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7"/>
  <sheetViews>
    <sheetView showGridLines="0" zoomScaleNormal="100" workbookViewId="0">
      <pane ySplit="4" topLeftCell="A5" activePane="bottomLeft" state="frozen"/>
      <selection pane="bottomLeft"/>
    </sheetView>
  </sheetViews>
  <sheetFormatPr baseColWidth="10" defaultColWidth="8.7109375" defaultRowHeight="15" x14ac:dyDescent="0.25"/>
  <cols>
    <col min="1" max="1" width="28" customWidth="1"/>
    <col min="2" max="2" width="34" customWidth="1"/>
    <col min="3" max="3" width="22" customWidth="1"/>
    <col min="4" max="4" width="120" customWidth="1"/>
  </cols>
  <sheetData>
    <row r="1" spans="1:4" ht="33.75" customHeight="1" x14ac:dyDescent="0.25">
      <c r="A1" s="9" t="s">
        <v>986</v>
      </c>
      <c r="B1" s="9"/>
      <c r="C1" s="9"/>
      <c r="D1" s="9"/>
    </row>
    <row r="2" spans="1:4" ht="18" customHeight="1" x14ac:dyDescent="0.25">
      <c r="A2" s="8" t="s">
        <v>987</v>
      </c>
      <c r="B2" s="8"/>
      <c r="C2" s="8"/>
      <c r="D2" s="8"/>
    </row>
    <row r="4" spans="1:4" x14ac:dyDescent="0.25">
      <c r="A4" s="23" t="s">
        <v>988</v>
      </c>
      <c r="B4" s="23" t="s">
        <v>15</v>
      </c>
      <c r="C4" s="23" t="s">
        <v>989</v>
      </c>
      <c r="D4" s="23" t="s">
        <v>990</v>
      </c>
    </row>
    <row r="5" spans="1:4" ht="15" customHeight="1" x14ac:dyDescent="0.25">
      <c r="A5" s="2" t="s">
        <v>900</v>
      </c>
      <c r="B5" s="20" t="s">
        <v>991</v>
      </c>
      <c r="C5" s="19" t="s">
        <v>992</v>
      </c>
      <c r="D5" s="1" t="s">
        <v>901</v>
      </c>
    </row>
    <row r="6" spans="1:4" x14ac:dyDescent="0.25">
      <c r="A6" s="2"/>
      <c r="B6" s="20" t="s">
        <v>993</v>
      </c>
      <c r="C6" s="19" t="s">
        <v>992</v>
      </c>
      <c r="D6" s="1"/>
    </row>
    <row r="7" spans="1:4" x14ac:dyDescent="0.25">
      <c r="A7" s="2"/>
      <c r="B7" s="20" t="s">
        <v>994</v>
      </c>
      <c r="C7" s="19" t="s">
        <v>992</v>
      </c>
      <c r="D7" s="1"/>
    </row>
    <row r="8" spans="1:4" x14ac:dyDescent="0.25">
      <c r="A8" s="2"/>
      <c r="B8" s="20" t="s">
        <v>294</v>
      </c>
      <c r="C8" s="19" t="s">
        <v>995</v>
      </c>
      <c r="D8" s="1"/>
    </row>
    <row r="9" spans="1:4" x14ac:dyDescent="0.25">
      <c r="A9" s="2"/>
      <c r="B9" s="20" t="s">
        <v>664</v>
      </c>
      <c r="C9" s="19" t="s">
        <v>996</v>
      </c>
      <c r="D9" s="1"/>
    </row>
    <row r="10" spans="1:4" x14ac:dyDescent="0.25">
      <c r="A10" s="2"/>
      <c r="B10" s="20" t="s">
        <v>313</v>
      </c>
      <c r="C10" s="19" t="s">
        <v>997</v>
      </c>
      <c r="D10" s="1"/>
    </row>
    <row r="11" spans="1:4" ht="15" customHeight="1" x14ac:dyDescent="0.25">
      <c r="A11" s="2" t="s">
        <v>902</v>
      </c>
      <c r="B11" s="20" t="s">
        <v>998</v>
      </c>
      <c r="C11" s="19" t="s">
        <v>992</v>
      </c>
      <c r="D11" s="1" t="s">
        <v>903</v>
      </c>
    </row>
    <row r="12" spans="1:4" x14ac:dyDescent="0.25">
      <c r="A12" s="2"/>
      <c r="B12" s="20" t="s">
        <v>405</v>
      </c>
      <c r="C12" s="19" t="s">
        <v>992</v>
      </c>
      <c r="D12" s="1"/>
    </row>
    <row r="13" spans="1:4" x14ac:dyDescent="0.25">
      <c r="A13" s="2"/>
      <c r="B13" s="20" t="s">
        <v>999</v>
      </c>
      <c r="C13" s="19" t="s">
        <v>995</v>
      </c>
      <c r="D13" s="1"/>
    </row>
    <row r="14" spans="1:4" x14ac:dyDescent="0.25">
      <c r="A14" s="2"/>
      <c r="B14" s="20" t="s">
        <v>1000</v>
      </c>
      <c r="C14" s="19" t="s">
        <v>995</v>
      </c>
      <c r="D14" s="1"/>
    </row>
    <row r="15" spans="1:4" x14ac:dyDescent="0.25">
      <c r="A15" s="2"/>
      <c r="B15" s="20" t="s">
        <v>1001</v>
      </c>
      <c r="C15" s="19" t="s">
        <v>996</v>
      </c>
      <c r="D15" s="1"/>
    </row>
    <row r="16" spans="1:4" x14ac:dyDescent="0.25">
      <c r="A16" s="2"/>
      <c r="B16" s="20" t="s">
        <v>1002</v>
      </c>
      <c r="C16" s="19" t="s">
        <v>997</v>
      </c>
      <c r="D16" s="1"/>
    </row>
    <row r="17" spans="1:4" x14ac:dyDescent="0.25">
      <c r="A17" s="2"/>
      <c r="B17" s="20" t="s">
        <v>1003</v>
      </c>
      <c r="C17" s="19" t="s">
        <v>997</v>
      </c>
      <c r="D17" s="1"/>
    </row>
    <row r="18" spans="1:4" ht="15" customHeight="1" x14ac:dyDescent="0.25">
      <c r="A18" s="2" t="s">
        <v>904</v>
      </c>
      <c r="B18" s="20" t="s">
        <v>243</v>
      </c>
      <c r="C18" s="19" t="s">
        <v>992</v>
      </c>
      <c r="D18" s="1" t="s">
        <v>905</v>
      </c>
    </row>
    <row r="19" spans="1:4" x14ac:dyDescent="0.25">
      <c r="A19" s="2"/>
      <c r="B19" s="20" t="s">
        <v>1004</v>
      </c>
      <c r="C19" s="19" t="s">
        <v>995</v>
      </c>
      <c r="D19" s="1"/>
    </row>
    <row r="20" spans="1:4" x14ac:dyDescent="0.25">
      <c r="A20" s="2"/>
      <c r="B20" s="20" t="s">
        <v>1005</v>
      </c>
      <c r="C20" s="19" t="s">
        <v>995</v>
      </c>
      <c r="D20" s="1"/>
    </row>
    <row r="21" spans="1:4" x14ac:dyDescent="0.25">
      <c r="A21" s="2"/>
      <c r="B21" s="20" t="s">
        <v>1006</v>
      </c>
      <c r="C21" s="19" t="s">
        <v>996</v>
      </c>
      <c r="D21" s="1"/>
    </row>
    <row r="22" spans="1:4" x14ac:dyDescent="0.25">
      <c r="A22" s="2"/>
      <c r="B22" s="20" t="s">
        <v>385</v>
      </c>
      <c r="C22" s="19" t="s">
        <v>996</v>
      </c>
      <c r="D22" s="1"/>
    </row>
    <row r="23" spans="1:4" x14ac:dyDescent="0.25">
      <c r="A23" s="2"/>
      <c r="B23" s="20" t="s">
        <v>1007</v>
      </c>
      <c r="C23" s="19" t="s">
        <v>997</v>
      </c>
      <c r="D23" s="1"/>
    </row>
    <row r="24" spans="1:4" ht="15" customHeight="1" x14ac:dyDescent="0.25">
      <c r="A24" s="2" t="s">
        <v>906</v>
      </c>
      <c r="B24" s="20" t="s">
        <v>1008</v>
      </c>
      <c r="C24" s="19" t="s">
        <v>995</v>
      </c>
      <c r="D24" s="1" t="s">
        <v>907</v>
      </c>
    </row>
    <row r="25" spans="1:4" x14ac:dyDescent="0.25">
      <c r="A25" s="2"/>
      <c r="B25" s="20" t="s">
        <v>1009</v>
      </c>
      <c r="C25" s="19" t="s">
        <v>995</v>
      </c>
      <c r="D25" s="1"/>
    </row>
    <row r="26" spans="1:4" x14ac:dyDescent="0.25">
      <c r="A26" s="2"/>
      <c r="B26" s="20" t="s">
        <v>1010</v>
      </c>
      <c r="C26" s="19" t="s">
        <v>996</v>
      </c>
      <c r="D26" s="1"/>
    </row>
    <row r="27" spans="1:4" x14ac:dyDescent="0.25">
      <c r="A27" s="2"/>
      <c r="B27" s="20" t="s">
        <v>1011</v>
      </c>
      <c r="C27" s="19" t="s">
        <v>997</v>
      </c>
      <c r="D27" s="1"/>
    </row>
    <row r="28" spans="1:4" ht="15" customHeight="1" x14ac:dyDescent="0.25">
      <c r="A28" s="2" t="s">
        <v>908</v>
      </c>
      <c r="B28" s="20" t="s">
        <v>413</v>
      </c>
      <c r="C28" s="19" t="s">
        <v>995</v>
      </c>
      <c r="D28" s="1" t="s">
        <v>909</v>
      </c>
    </row>
    <row r="29" spans="1:4" x14ac:dyDescent="0.25">
      <c r="A29" s="2"/>
      <c r="B29" s="20" t="s">
        <v>1012</v>
      </c>
      <c r="C29" s="19" t="s">
        <v>995</v>
      </c>
      <c r="D29" s="1"/>
    </row>
    <row r="30" spans="1:4" x14ac:dyDescent="0.25">
      <c r="A30" s="2"/>
      <c r="B30" s="20" t="s">
        <v>1013</v>
      </c>
      <c r="C30" s="19" t="s">
        <v>995</v>
      </c>
      <c r="D30" s="1"/>
    </row>
    <row r="31" spans="1:4" x14ac:dyDescent="0.25">
      <c r="A31" s="2"/>
      <c r="B31" s="20" t="s">
        <v>1014</v>
      </c>
      <c r="C31" s="19" t="s">
        <v>1015</v>
      </c>
      <c r="D31" s="1"/>
    </row>
    <row r="32" spans="1:4" x14ac:dyDescent="0.25">
      <c r="A32" s="2"/>
      <c r="B32" s="20" t="s">
        <v>1016</v>
      </c>
      <c r="C32" s="19" t="s">
        <v>1015</v>
      </c>
      <c r="D32" s="1"/>
    </row>
    <row r="33" spans="1:4" x14ac:dyDescent="0.25">
      <c r="A33" s="2"/>
      <c r="B33" s="20" t="s">
        <v>1017</v>
      </c>
      <c r="C33" s="19" t="s">
        <v>996</v>
      </c>
      <c r="D33" s="1"/>
    </row>
    <row r="34" spans="1:4" x14ac:dyDescent="0.25">
      <c r="A34" s="2"/>
      <c r="B34" s="20" t="s">
        <v>1018</v>
      </c>
      <c r="C34" s="19" t="s">
        <v>997</v>
      </c>
      <c r="D34" s="1"/>
    </row>
    <row r="35" spans="1:4" x14ac:dyDescent="0.25">
      <c r="A35" s="2"/>
      <c r="B35" s="20" t="s">
        <v>680</v>
      </c>
      <c r="C35" s="19" t="s">
        <v>997</v>
      </c>
      <c r="D35" s="1"/>
    </row>
    <row r="36" spans="1:4" ht="15" customHeight="1" x14ac:dyDescent="0.25">
      <c r="A36" s="2" t="s">
        <v>910</v>
      </c>
      <c r="B36" s="20" t="s">
        <v>1019</v>
      </c>
      <c r="C36" s="19" t="s">
        <v>992</v>
      </c>
      <c r="D36" s="1" t="s">
        <v>911</v>
      </c>
    </row>
    <row r="37" spans="1:4" x14ac:dyDescent="0.25">
      <c r="A37" s="2"/>
      <c r="B37" s="20" t="s">
        <v>1020</v>
      </c>
      <c r="C37" s="19" t="s">
        <v>992</v>
      </c>
      <c r="D37" s="1"/>
    </row>
    <row r="38" spans="1:4" x14ac:dyDescent="0.25">
      <c r="A38" s="2"/>
      <c r="B38" s="20" t="s">
        <v>1021</v>
      </c>
      <c r="C38" s="19" t="s">
        <v>995</v>
      </c>
      <c r="D38" s="1"/>
    </row>
    <row r="39" spans="1:4" x14ac:dyDescent="0.25">
      <c r="A39" s="2"/>
      <c r="B39" s="20" t="s">
        <v>1022</v>
      </c>
      <c r="C39" s="19" t="s">
        <v>995</v>
      </c>
      <c r="D39" s="1"/>
    </row>
    <row r="40" spans="1:4" x14ac:dyDescent="0.25">
      <c r="A40" s="2"/>
      <c r="B40" s="20" t="s">
        <v>1023</v>
      </c>
      <c r="C40" s="19" t="s">
        <v>996</v>
      </c>
      <c r="D40" s="1"/>
    </row>
    <row r="41" spans="1:4" x14ac:dyDescent="0.25">
      <c r="A41" s="2"/>
      <c r="B41" s="20" t="s">
        <v>1024</v>
      </c>
      <c r="C41" s="19" t="s">
        <v>997</v>
      </c>
      <c r="D41" s="1"/>
    </row>
    <row r="42" spans="1:4" x14ac:dyDescent="0.25">
      <c r="A42" s="2"/>
      <c r="B42" s="20" t="s">
        <v>1025</v>
      </c>
      <c r="C42" s="19" t="s">
        <v>997</v>
      </c>
      <c r="D42" s="1"/>
    </row>
    <row r="43" spans="1:4" ht="15" customHeight="1" x14ac:dyDescent="0.25">
      <c r="A43" s="2" t="s">
        <v>912</v>
      </c>
      <c r="B43" s="20" t="s">
        <v>1026</v>
      </c>
      <c r="C43" s="19" t="s">
        <v>995</v>
      </c>
      <c r="D43" s="1" t="s">
        <v>913</v>
      </c>
    </row>
    <row r="44" spans="1:4" x14ac:dyDescent="0.25">
      <c r="A44" s="2"/>
      <c r="B44" s="20" t="s">
        <v>377</v>
      </c>
      <c r="C44" s="19" t="s">
        <v>996</v>
      </c>
      <c r="D44" s="1"/>
    </row>
    <row r="45" spans="1:4" x14ac:dyDescent="0.25">
      <c r="A45" s="2"/>
      <c r="B45" s="20" t="s">
        <v>1027</v>
      </c>
      <c r="C45" s="19" t="s">
        <v>997</v>
      </c>
      <c r="D45" s="1"/>
    </row>
    <row r="47" spans="1:4" x14ac:dyDescent="0.25">
      <c r="A47" s="7" t="s">
        <v>1028</v>
      </c>
      <c r="B47" s="7"/>
      <c r="C47" s="7"/>
      <c r="D47" s="7"/>
    </row>
  </sheetData>
  <mergeCells count="17">
    <mergeCell ref="A36:A42"/>
    <mergeCell ref="D36:D42"/>
    <mergeCell ref="A43:A45"/>
    <mergeCell ref="D43:D45"/>
    <mergeCell ref="A47:D47"/>
    <mergeCell ref="A18:A23"/>
    <mergeCell ref="D18:D23"/>
    <mergeCell ref="A24:A27"/>
    <mergeCell ref="D24:D27"/>
    <mergeCell ref="A28:A35"/>
    <mergeCell ref="D28:D35"/>
    <mergeCell ref="A1:D1"/>
    <mergeCell ref="A2:D2"/>
    <mergeCell ref="A5:A10"/>
    <mergeCell ref="D5:D10"/>
    <mergeCell ref="A11:A17"/>
    <mergeCell ref="D11:D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Resumen Ejecutivo</vt:lpstr>
      <vt:lpstr>Ing. Industrial</vt:lpstr>
      <vt:lpstr>Ing. de Sistemas</vt:lpstr>
      <vt:lpstr>Priorización</vt:lpstr>
      <vt:lpstr>Desarrollos Propios</vt:lpstr>
      <vt:lpstr>Recomendaciones</vt:lpstr>
      <vt:lpstr>Catálogo CompanyGame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Gonzalez</cp:lastModifiedBy>
  <cp:revision>0</cp:revision>
  <dcterms:created xsi:type="dcterms:W3CDTF">2026-09-01T21:29:19Z</dcterms:created>
  <dcterms:modified xsi:type="dcterms:W3CDTF">2026-09-04T19:58:59Z</dcterms:modified>
  <dc:language>en-US</dc:language>
</cp:coreProperties>
</file>